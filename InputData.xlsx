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icol\Documents\DWR\CalLite\Ilich_Ex_2\"/>
    </mc:Choice>
  </mc:AlternateContent>
  <xr:revisionPtr revIDLastSave="0" documentId="13_ncr:1_{67986201-86F6-4D12-9CC2-6BCE5E03E596}" xr6:coauthVersionLast="47" xr6:coauthVersionMax="47" xr10:uidLastSave="{00000000-0000-0000-0000-000000000000}"/>
  <bookViews>
    <workbookView xWindow="-120" yWindow="-120" windowWidth="29040" windowHeight="15840" activeTab="2" xr2:uid="{725F6E91-FF34-4E0A-81A0-E634F54924C6}"/>
  </bookViews>
  <sheets>
    <sheet name="Table10-1_2" sheetId="1" r:id="rId1"/>
    <sheet name="Table10-3" sheetId="3" r:id="rId2"/>
    <sheet name="SV" sheetId="5" r:id="rId3"/>
  </sheets>
  <definedNames>
    <definedName name="known_elev">'Table10-1_2'!$K$3:$K$10</definedName>
    <definedName name="known_elevation">'Table10-1_2'!$A$3:$A$22</definedName>
    <definedName name="known_outflow">'Table10-1_2'!$L$3:$L$10</definedName>
    <definedName name="known_vol">'Table10-1_2'!$C$3:$C$22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9" i="5" l="1"/>
  <c r="T7" i="5"/>
  <c r="P187" i="5"/>
  <c r="Q187" i="5"/>
  <c r="R187" i="5"/>
  <c r="S187" i="5"/>
  <c r="P188" i="5"/>
  <c r="Q188" i="5"/>
  <c r="R188" i="5"/>
  <c r="S188" i="5"/>
  <c r="P189" i="5"/>
  <c r="Q189" i="5"/>
  <c r="R189" i="5"/>
  <c r="S189" i="5"/>
  <c r="P190" i="5"/>
  <c r="Q190" i="5"/>
  <c r="R190" i="5"/>
  <c r="S190" i="5"/>
  <c r="P191" i="5"/>
  <c r="Q191" i="5"/>
  <c r="R191" i="5"/>
  <c r="S191" i="5"/>
  <c r="P192" i="5"/>
  <c r="Q192" i="5"/>
  <c r="R192" i="5"/>
  <c r="S192" i="5"/>
  <c r="P193" i="5"/>
  <c r="Q193" i="5"/>
  <c r="R193" i="5"/>
  <c r="S193" i="5"/>
  <c r="P194" i="5"/>
  <c r="Q194" i="5"/>
  <c r="R194" i="5"/>
  <c r="S194" i="5"/>
  <c r="P195" i="5"/>
  <c r="Q195" i="5"/>
  <c r="R195" i="5"/>
  <c r="S195" i="5"/>
  <c r="P196" i="5"/>
  <c r="Q196" i="5"/>
  <c r="R196" i="5"/>
  <c r="S196" i="5"/>
  <c r="P175" i="5"/>
  <c r="Q175" i="5"/>
  <c r="R175" i="5"/>
  <c r="S175" i="5"/>
  <c r="P176" i="5"/>
  <c r="Q176" i="5"/>
  <c r="R176" i="5"/>
  <c r="S176" i="5"/>
  <c r="P177" i="5"/>
  <c r="Q177" i="5"/>
  <c r="R177" i="5"/>
  <c r="S177" i="5"/>
  <c r="P178" i="5"/>
  <c r="Q178" i="5"/>
  <c r="R178" i="5"/>
  <c r="S178" i="5"/>
  <c r="P179" i="5"/>
  <c r="Q179" i="5"/>
  <c r="R179" i="5"/>
  <c r="S179" i="5"/>
  <c r="P180" i="5"/>
  <c r="Q180" i="5"/>
  <c r="R180" i="5"/>
  <c r="S180" i="5"/>
  <c r="P181" i="5"/>
  <c r="Q181" i="5"/>
  <c r="R181" i="5"/>
  <c r="S181" i="5"/>
  <c r="P182" i="5"/>
  <c r="Q182" i="5"/>
  <c r="R182" i="5"/>
  <c r="S182" i="5"/>
  <c r="P183" i="5"/>
  <c r="Q183" i="5"/>
  <c r="R183" i="5"/>
  <c r="S183" i="5"/>
  <c r="P184" i="5"/>
  <c r="Q184" i="5"/>
  <c r="R184" i="5"/>
  <c r="S184" i="5"/>
  <c r="P185" i="5"/>
  <c r="Q185" i="5"/>
  <c r="R185" i="5"/>
  <c r="S185" i="5"/>
  <c r="P186" i="5"/>
  <c r="Q186" i="5"/>
  <c r="R186" i="5"/>
  <c r="S186" i="5"/>
  <c r="P152" i="5"/>
  <c r="Q152" i="5"/>
  <c r="R152" i="5"/>
  <c r="S152" i="5"/>
  <c r="P153" i="5"/>
  <c r="Q153" i="5"/>
  <c r="R153" i="5"/>
  <c r="S153" i="5"/>
  <c r="P154" i="5"/>
  <c r="Q154" i="5"/>
  <c r="R154" i="5"/>
  <c r="S154" i="5"/>
  <c r="P155" i="5"/>
  <c r="Q155" i="5"/>
  <c r="R155" i="5"/>
  <c r="S155" i="5"/>
  <c r="P156" i="5"/>
  <c r="Q156" i="5"/>
  <c r="R156" i="5"/>
  <c r="S156" i="5"/>
  <c r="P157" i="5"/>
  <c r="Q157" i="5"/>
  <c r="R157" i="5"/>
  <c r="S157" i="5"/>
  <c r="P158" i="5"/>
  <c r="Q158" i="5"/>
  <c r="R158" i="5"/>
  <c r="S158" i="5"/>
  <c r="P159" i="5"/>
  <c r="Q159" i="5"/>
  <c r="R159" i="5"/>
  <c r="S159" i="5"/>
  <c r="P160" i="5"/>
  <c r="Q160" i="5"/>
  <c r="R160" i="5"/>
  <c r="S160" i="5"/>
  <c r="P161" i="5"/>
  <c r="Q161" i="5"/>
  <c r="R161" i="5"/>
  <c r="S161" i="5"/>
  <c r="P162" i="5"/>
  <c r="Q162" i="5"/>
  <c r="R162" i="5"/>
  <c r="S162" i="5"/>
  <c r="P163" i="5"/>
  <c r="Q163" i="5"/>
  <c r="R163" i="5"/>
  <c r="S163" i="5"/>
  <c r="P164" i="5"/>
  <c r="Q164" i="5"/>
  <c r="R164" i="5"/>
  <c r="S164" i="5"/>
  <c r="P165" i="5"/>
  <c r="Q165" i="5"/>
  <c r="R165" i="5"/>
  <c r="S165" i="5"/>
  <c r="P166" i="5"/>
  <c r="Q166" i="5"/>
  <c r="R166" i="5"/>
  <c r="S166" i="5"/>
  <c r="P167" i="5"/>
  <c r="Q167" i="5"/>
  <c r="R167" i="5"/>
  <c r="S167" i="5"/>
  <c r="P168" i="5"/>
  <c r="Q168" i="5"/>
  <c r="R168" i="5"/>
  <c r="S168" i="5"/>
  <c r="P169" i="5"/>
  <c r="Q169" i="5"/>
  <c r="R169" i="5"/>
  <c r="S169" i="5"/>
  <c r="P170" i="5"/>
  <c r="Q170" i="5"/>
  <c r="R170" i="5"/>
  <c r="S170" i="5"/>
  <c r="P171" i="5"/>
  <c r="Q171" i="5"/>
  <c r="R171" i="5"/>
  <c r="S171" i="5"/>
  <c r="P172" i="5"/>
  <c r="Q172" i="5"/>
  <c r="R172" i="5"/>
  <c r="S172" i="5"/>
  <c r="P173" i="5"/>
  <c r="Q173" i="5"/>
  <c r="R173" i="5"/>
  <c r="S173" i="5"/>
  <c r="P174" i="5"/>
  <c r="Q174" i="5"/>
  <c r="R174" i="5"/>
  <c r="S174" i="5"/>
  <c r="P14" i="5"/>
  <c r="P15" i="5"/>
  <c r="P16" i="5"/>
  <c r="P17" i="5"/>
  <c r="S17" i="5" s="1"/>
  <c r="P18" i="5"/>
  <c r="P19" i="5"/>
  <c r="P20" i="5"/>
  <c r="P21" i="5"/>
  <c r="S21" i="5" s="1"/>
  <c r="P22" i="5"/>
  <c r="P23" i="5"/>
  <c r="P24" i="5"/>
  <c r="P25" i="5"/>
  <c r="S25" i="5" s="1"/>
  <c r="P26" i="5"/>
  <c r="P27" i="5"/>
  <c r="P28" i="5"/>
  <c r="P29" i="5"/>
  <c r="S29" i="5" s="1"/>
  <c r="P30" i="5"/>
  <c r="P31" i="5"/>
  <c r="P32" i="5"/>
  <c r="P33" i="5"/>
  <c r="S33" i="5" s="1"/>
  <c r="P34" i="5"/>
  <c r="P35" i="5"/>
  <c r="P36" i="5"/>
  <c r="P37" i="5"/>
  <c r="S37" i="5" s="1"/>
  <c r="P38" i="5"/>
  <c r="P39" i="5"/>
  <c r="P40" i="5"/>
  <c r="P41" i="5"/>
  <c r="S41" i="5" s="1"/>
  <c r="P42" i="5"/>
  <c r="P43" i="5"/>
  <c r="P44" i="5"/>
  <c r="P45" i="5"/>
  <c r="S45" i="5" s="1"/>
  <c r="P46" i="5"/>
  <c r="P47" i="5"/>
  <c r="P48" i="5"/>
  <c r="P49" i="5"/>
  <c r="S49" i="5" s="1"/>
  <c r="P50" i="5"/>
  <c r="P51" i="5"/>
  <c r="P52" i="5"/>
  <c r="P53" i="5"/>
  <c r="S53" i="5" s="1"/>
  <c r="P54" i="5"/>
  <c r="P55" i="5"/>
  <c r="P56" i="5"/>
  <c r="P57" i="5"/>
  <c r="S57" i="5" s="1"/>
  <c r="P58" i="5"/>
  <c r="P59" i="5"/>
  <c r="P60" i="5"/>
  <c r="P61" i="5"/>
  <c r="S61" i="5" s="1"/>
  <c r="P62" i="5"/>
  <c r="P63" i="5"/>
  <c r="P64" i="5"/>
  <c r="P65" i="5"/>
  <c r="S65" i="5" s="1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S88" i="5" s="1"/>
  <c r="P89" i="5"/>
  <c r="P90" i="5"/>
  <c r="P91" i="5"/>
  <c r="P92" i="5"/>
  <c r="P93" i="5"/>
  <c r="P94" i="5"/>
  <c r="P95" i="5"/>
  <c r="P96" i="5"/>
  <c r="S96" i="5" s="1"/>
  <c r="P97" i="5"/>
  <c r="P98" i="5"/>
  <c r="P99" i="5"/>
  <c r="P100" i="5"/>
  <c r="P101" i="5"/>
  <c r="P102" i="5"/>
  <c r="P103" i="5"/>
  <c r="P104" i="5"/>
  <c r="S104" i="5" s="1"/>
  <c r="P105" i="5"/>
  <c r="P106" i="5"/>
  <c r="P107" i="5"/>
  <c r="P108" i="5"/>
  <c r="P109" i="5"/>
  <c r="P110" i="5"/>
  <c r="P111" i="5"/>
  <c r="P112" i="5"/>
  <c r="S112" i="5" s="1"/>
  <c r="P113" i="5"/>
  <c r="P114" i="5"/>
  <c r="P115" i="5"/>
  <c r="P116" i="5"/>
  <c r="P117" i="5"/>
  <c r="P118" i="5"/>
  <c r="P119" i="5"/>
  <c r="P120" i="5"/>
  <c r="S120" i="5" s="1"/>
  <c r="P121" i="5"/>
  <c r="P122" i="5"/>
  <c r="P123" i="5"/>
  <c r="P124" i="5"/>
  <c r="P125" i="5"/>
  <c r="P126" i="5"/>
  <c r="P127" i="5"/>
  <c r="P128" i="5"/>
  <c r="S128" i="5" s="1"/>
  <c r="P129" i="5"/>
  <c r="P130" i="5"/>
  <c r="P131" i="5"/>
  <c r="P132" i="5"/>
  <c r="P133" i="5"/>
  <c r="P134" i="5"/>
  <c r="P135" i="5"/>
  <c r="P136" i="5"/>
  <c r="S136" i="5" s="1"/>
  <c r="P137" i="5"/>
  <c r="P138" i="5"/>
  <c r="P139" i="5"/>
  <c r="P140" i="5"/>
  <c r="P141" i="5"/>
  <c r="P142" i="5"/>
  <c r="P143" i="5"/>
  <c r="P144" i="5"/>
  <c r="S144" i="5" s="1"/>
  <c r="P145" i="5"/>
  <c r="P146" i="5"/>
  <c r="P147" i="5"/>
  <c r="P148" i="5"/>
  <c r="P149" i="5"/>
  <c r="P150" i="5"/>
  <c r="P151" i="5"/>
  <c r="P13" i="5"/>
  <c r="M7" i="5"/>
  <c r="M9" i="5"/>
  <c r="L9" i="5"/>
  <c r="R151" i="5"/>
  <c r="Q151" i="5"/>
  <c r="S151" i="5"/>
  <c r="R150" i="5"/>
  <c r="Q150" i="5"/>
  <c r="R149" i="5"/>
  <c r="Q149" i="5"/>
  <c r="R148" i="5"/>
  <c r="Q148" i="5"/>
  <c r="S148" i="5"/>
  <c r="R147" i="5"/>
  <c r="Q147" i="5"/>
  <c r="S147" i="5"/>
  <c r="R146" i="5"/>
  <c r="Q146" i="5"/>
  <c r="R145" i="5"/>
  <c r="Q145" i="5"/>
  <c r="R144" i="5"/>
  <c r="Q144" i="5"/>
  <c r="R143" i="5"/>
  <c r="Q143" i="5"/>
  <c r="S143" i="5"/>
  <c r="R142" i="5"/>
  <c r="Q142" i="5"/>
  <c r="R141" i="5"/>
  <c r="Q141" i="5"/>
  <c r="R140" i="5"/>
  <c r="Q140" i="5"/>
  <c r="S140" i="5"/>
  <c r="R139" i="5"/>
  <c r="Q139" i="5"/>
  <c r="S139" i="5"/>
  <c r="R138" i="5"/>
  <c r="Q138" i="5"/>
  <c r="R137" i="5"/>
  <c r="Q137" i="5"/>
  <c r="R136" i="5"/>
  <c r="Q136" i="5"/>
  <c r="R135" i="5"/>
  <c r="Q135" i="5"/>
  <c r="S135" i="5"/>
  <c r="R134" i="5"/>
  <c r="Q134" i="5"/>
  <c r="R133" i="5"/>
  <c r="Q133" i="5"/>
  <c r="R132" i="5"/>
  <c r="Q132" i="5"/>
  <c r="S132" i="5"/>
  <c r="R131" i="5"/>
  <c r="Q131" i="5"/>
  <c r="S131" i="5"/>
  <c r="R130" i="5"/>
  <c r="Q130" i="5"/>
  <c r="R129" i="5"/>
  <c r="Q129" i="5"/>
  <c r="R128" i="5"/>
  <c r="Q128" i="5"/>
  <c r="R127" i="5"/>
  <c r="Q127" i="5"/>
  <c r="S127" i="5"/>
  <c r="R126" i="5"/>
  <c r="Q126" i="5"/>
  <c r="R125" i="5"/>
  <c r="Q125" i="5"/>
  <c r="R124" i="5"/>
  <c r="Q124" i="5"/>
  <c r="S124" i="5"/>
  <c r="R123" i="5"/>
  <c r="Q123" i="5"/>
  <c r="S123" i="5"/>
  <c r="R122" i="5"/>
  <c r="Q122" i="5"/>
  <c r="R121" i="5"/>
  <c r="Q121" i="5"/>
  <c r="R120" i="5"/>
  <c r="Q120" i="5"/>
  <c r="R119" i="5"/>
  <c r="Q119" i="5"/>
  <c r="S119" i="5"/>
  <c r="R118" i="5"/>
  <c r="Q118" i="5"/>
  <c r="R117" i="5"/>
  <c r="Q117" i="5"/>
  <c r="R116" i="5"/>
  <c r="Q116" i="5"/>
  <c r="S116" i="5"/>
  <c r="R115" i="5"/>
  <c r="Q115" i="5"/>
  <c r="S115" i="5"/>
  <c r="R114" i="5"/>
  <c r="Q114" i="5"/>
  <c r="R113" i="5"/>
  <c r="Q113" i="5"/>
  <c r="R112" i="5"/>
  <c r="Q112" i="5"/>
  <c r="R111" i="5"/>
  <c r="Q111" i="5"/>
  <c r="S111" i="5"/>
  <c r="R110" i="5"/>
  <c r="Q110" i="5"/>
  <c r="R109" i="5"/>
  <c r="Q109" i="5"/>
  <c r="R108" i="5"/>
  <c r="Q108" i="5"/>
  <c r="S108" i="5"/>
  <c r="R107" i="5"/>
  <c r="Q107" i="5"/>
  <c r="S107" i="5"/>
  <c r="R106" i="5"/>
  <c r="Q106" i="5"/>
  <c r="R105" i="5"/>
  <c r="Q105" i="5"/>
  <c r="R104" i="5"/>
  <c r="Q104" i="5"/>
  <c r="R103" i="5"/>
  <c r="Q103" i="5"/>
  <c r="S103" i="5"/>
  <c r="R102" i="5"/>
  <c r="Q102" i="5"/>
  <c r="R101" i="5"/>
  <c r="Q101" i="5"/>
  <c r="R100" i="5"/>
  <c r="Q100" i="5"/>
  <c r="S100" i="5"/>
  <c r="R99" i="5"/>
  <c r="Q99" i="5"/>
  <c r="S99" i="5"/>
  <c r="R98" i="5"/>
  <c r="Q98" i="5"/>
  <c r="R97" i="5"/>
  <c r="Q97" i="5"/>
  <c r="R96" i="5"/>
  <c r="Q96" i="5"/>
  <c r="R95" i="5"/>
  <c r="Q95" i="5"/>
  <c r="S95" i="5"/>
  <c r="R94" i="5"/>
  <c r="Q94" i="5"/>
  <c r="R93" i="5"/>
  <c r="Q93" i="5"/>
  <c r="R92" i="5"/>
  <c r="Q92" i="5"/>
  <c r="S92" i="5"/>
  <c r="R91" i="5"/>
  <c r="Q91" i="5"/>
  <c r="S91" i="5"/>
  <c r="R90" i="5"/>
  <c r="Q90" i="5"/>
  <c r="R89" i="5"/>
  <c r="Q89" i="5"/>
  <c r="R88" i="5"/>
  <c r="Q88" i="5"/>
  <c r="R87" i="5"/>
  <c r="Q87" i="5"/>
  <c r="S87" i="5"/>
  <c r="R86" i="5"/>
  <c r="Q86" i="5"/>
  <c r="R85" i="5"/>
  <c r="Q85" i="5"/>
  <c r="R84" i="5"/>
  <c r="Q84" i="5"/>
  <c r="S84" i="5"/>
  <c r="R83" i="5"/>
  <c r="Q83" i="5"/>
  <c r="S83" i="5"/>
  <c r="R82" i="5"/>
  <c r="Q82" i="5"/>
  <c r="R81" i="5"/>
  <c r="Q81" i="5"/>
  <c r="R80" i="5"/>
  <c r="Q80" i="5"/>
  <c r="S80" i="5"/>
  <c r="R79" i="5"/>
  <c r="Q79" i="5"/>
  <c r="S79" i="5"/>
  <c r="R78" i="5"/>
  <c r="Q78" i="5"/>
  <c r="R77" i="5"/>
  <c r="Q77" i="5"/>
  <c r="R76" i="5"/>
  <c r="Q76" i="5"/>
  <c r="S76" i="5"/>
  <c r="R75" i="5"/>
  <c r="Q75" i="5"/>
  <c r="S75" i="5"/>
  <c r="R74" i="5"/>
  <c r="Q74" i="5"/>
  <c r="R73" i="5"/>
  <c r="Q73" i="5"/>
  <c r="R72" i="5"/>
  <c r="Q72" i="5"/>
  <c r="S72" i="5"/>
  <c r="R71" i="5"/>
  <c r="Q71" i="5"/>
  <c r="S71" i="5"/>
  <c r="R70" i="5"/>
  <c r="Q70" i="5"/>
  <c r="R69" i="5"/>
  <c r="Q69" i="5"/>
  <c r="R68" i="5"/>
  <c r="Q68" i="5"/>
  <c r="S68" i="5"/>
  <c r="R67" i="5"/>
  <c r="Q67" i="5"/>
  <c r="S67" i="5"/>
  <c r="S66" i="5"/>
  <c r="R66" i="5"/>
  <c r="Q66" i="5"/>
  <c r="R65" i="5"/>
  <c r="Q65" i="5"/>
  <c r="S64" i="5"/>
  <c r="R64" i="5"/>
  <c r="Q64" i="5"/>
  <c r="S63" i="5"/>
  <c r="R63" i="5"/>
  <c r="Q63" i="5"/>
  <c r="S62" i="5"/>
  <c r="R62" i="5"/>
  <c r="Q62" i="5"/>
  <c r="R61" i="5"/>
  <c r="Q61" i="5"/>
  <c r="S60" i="5"/>
  <c r="R60" i="5"/>
  <c r="Q60" i="5"/>
  <c r="S59" i="5"/>
  <c r="R59" i="5"/>
  <c r="Q59" i="5"/>
  <c r="S58" i="5"/>
  <c r="R58" i="5"/>
  <c r="Q58" i="5"/>
  <c r="R57" i="5"/>
  <c r="Q57" i="5"/>
  <c r="S56" i="5"/>
  <c r="R56" i="5"/>
  <c r="Q56" i="5"/>
  <c r="S55" i="5"/>
  <c r="R55" i="5"/>
  <c r="Q55" i="5"/>
  <c r="S54" i="5"/>
  <c r="R54" i="5"/>
  <c r="Q54" i="5"/>
  <c r="R53" i="5"/>
  <c r="Q53" i="5"/>
  <c r="S52" i="5"/>
  <c r="R52" i="5"/>
  <c r="Q52" i="5"/>
  <c r="S51" i="5"/>
  <c r="R51" i="5"/>
  <c r="Q51" i="5"/>
  <c r="S50" i="5"/>
  <c r="R50" i="5"/>
  <c r="Q50" i="5"/>
  <c r="R49" i="5"/>
  <c r="Q49" i="5"/>
  <c r="S48" i="5"/>
  <c r="R48" i="5"/>
  <c r="Q48" i="5"/>
  <c r="S47" i="5"/>
  <c r="R47" i="5"/>
  <c r="Q47" i="5"/>
  <c r="S46" i="5"/>
  <c r="R46" i="5"/>
  <c r="Q46" i="5"/>
  <c r="R45" i="5"/>
  <c r="Q45" i="5"/>
  <c r="S44" i="5"/>
  <c r="R44" i="5"/>
  <c r="Q44" i="5"/>
  <c r="S43" i="5"/>
  <c r="R43" i="5"/>
  <c r="Q43" i="5"/>
  <c r="S42" i="5"/>
  <c r="R42" i="5"/>
  <c r="Q42" i="5"/>
  <c r="R41" i="5"/>
  <c r="Q41" i="5"/>
  <c r="S40" i="5"/>
  <c r="R40" i="5"/>
  <c r="Q40" i="5"/>
  <c r="S39" i="5"/>
  <c r="R39" i="5"/>
  <c r="Q39" i="5"/>
  <c r="S38" i="5"/>
  <c r="R38" i="5"/>
  <c r="Q38" i="5"/>
  <c r="R37" i="5"/>
  <c r="Q37" i="5"/>
  <c r="S36" i="5"/>
  <c r="R36" i="5"/>
  <c r="Q36" i="5"/>
  <c r="S35" i="5"/>
  <c r="R35" i="5"/>
  <c r="Q35" i="5"/>
  <c r="S34" i="5"/>
  <c r="R34" i="5"/>
  <c r="Q34" i="5"/>
  <c r="R33" i="5"/>
  <c r="Q33" i="5"/>
  <c r="S32" i="5"/>
  <c r="R32" i="5"/>
  <c r="Q32" i="5"/>
  <c r="S31" i="5"/>
  <c r="R31" i="5"/>
  <c r="Q31" i="5"/>
  <c r="S30" i="5"/>
  <c r="R30" i="5"/>
  <c r="Q30" i="5"/>
  <c r="R29" i="5"/>
  <c r="Q29" i="5"/>
  <c r="S28" i="5"/>
  <c r="R28" i="5"/>
  <c r="Q28" i="5"/>
  <c r="S27" i="5"/>
  <c r="R27" i="5"/>
  <c r="Q27" i="5"/>
  <c r="S26" i="5"/>
  <c r="R26" i="5"/>
  <c r="Q26" i="5"/>
  <c r="R25" i="5"/>
  <c r="Q25" i="5"/>
  <c r="S24" i="5"/>
  <c r="R24" i="5"/>
  <c r="Q24" i="5"/>
  <c r="S23" i="5"/>
  <c r="R23" i="5"/>
  <c r="Q23" i="5"/>
  <c r="S22" i="5"/>
  <c r="R22" i="5"/>
  <c r="Q22" i="5"/>
  <c r="R21" i="5"/>
  <c r="Q21" i="5"/>
  <c r="S20" i="5"/>
  <c r="R20" i="5"/>
  <c r="Q20" i="5"/>
  <c r="S19" i="5"/>
  <c r="R19" i="5"/>
  <c r="Q19" i="5"/>
  <c r="S18" i="5"/>
  <c r="R18" i="5"/>
  <c r="Q18" i="5"/>
  <c r="R17" i="5"/>
  <c r="Q17" i="5"/>
  <c r="S16" i="5"/>
  <c r="R16" i="5"/>
  <c r="Q16" i="5"/>
  <c r="S15" i="5"/>
  <c r="R15" i="5"/>
  <c r="Q15" i="5"/>
  <c r="S14" i="5"/>
  <c r="R14" i="5"/>
  <c r="Q14" i="5"/>
  <c r="R13" i="5"/>
  <c r="Q13" i="5"/>
  <c r="S13" i="5" s="1"/>
  <c r="L7" i="5"/>
  <c r="M13" i="1"/>
  <c r="S10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I22" i="1"/>
  <c r="I4" i="1"/>
  <c r="I3" i="1"/>
  <c r="D22" i="1"/>
  <c r="D21" i="1"/>
  <c r="I21" i="1" s="1"/>
  <c r="D20" i="1"/>
  <c r="I20" i="1" s="1"/>
  <c r="D19" i="1"/>
  <c r="I19" i="1" s="1"/>
  <c r="D18" i="1"/>
  <c r="I18" i="1" s="1"/>
  <c r="D17" i="1"/>
  <c r="I17" i="1" s="1"/>
  <c r="D16" i="1"/>
  <c r="I16" i="1" s="1"/>
  <c r="D15" i="1"/>
  <c r="I15" i="1" s="1"/>
  <c r="D14" i="1"/>
  <c r="I14" i="1" s="1"/>
  <c r="D13" i="1"/>
  <c r="I13" i="1" s="1"/>
  <c r="D12" i="1"/>
  <c r="I12" i="1" s="1"/>
  <c r="D11" i="1"/>
  <c r="I11" i="1" s="1"/>
  <c r="D10" i="1"/>
  <c r="I10" i="1" s="1"/>
  <c r="D9" i="1"/>
  <c r="I9" i="1" s="1"/>
  <c r="D8" i="1"/>
  <c r="I8" i="1" s="1"/>
  <c r="D7" i="1"/>
  <c r="I7" i="1" s="1"/>
  <c r="D6" i="1"/>
  <c r="I6" i="1" s="1"/>
  <c r="D5" i="1"/>
  <c r="I5" i="1" s="1"/>
  <c r="M10" i="1"/>
  <c r="M3" i="1"/>
  <c r="N3" i="1" s="1"/>
  <c r="S3" i="1" s="1"/>
  <c r="O3" i="1"/>
  <c r="O10" i="1"/>
  <c r="O9" i="1"/>
  <c r="O8" i="1"/>
  <c r="O7" i="1"/>
  <c r="O6" i="1"/>
  <c r="O5" i="1"/>
  <c r="O4" i="1"/>
  <c r="M9" i="1"/>
  <c r="N9" i="1" s="1"/>
  <c r="S9" i="1" s="1"/>
  <c r="M8" i="1"/>
  <c r="N8" i="1" s="1"/>
  <c r="S8" i="1" s="1"/>
  <c r="M7" i="1"/>
  <c r="N7" i="1" s="1"/>
  <c r="S7" i="1" s="1"/>
  <c r="M6" i="1"/>
  <c r="M5" i="1"/>
  <c r="N5" i="1" s="1"/>
  <c r="S5" i="1" s="1"/>
  <c r="M4" i="1"/>
  <c r="Q3" i="1"/>
  <c r="R3" i="1"/>
  <c r="Q4" i="1"/>
  <c r="R4" i="1"/>
  <c r="Q5" i="1"/>
  <c r="R5" i="1"/>
  <c r="Q6" i="1"/>
  <c r="R6" i="1"/>
  <c r="Q7" i="1"/>
  <c r="R7" i="1"/>
  <c r="Q8" i="1"/>
  <c r="R8" i="1"/>
  <c r="Q9" i="1"/>
  <c r="R9" i="1"/>
  <c r="Q10" i="1"/>
  <c r="R10" i="1"/>
  <c r="AA14" i="5"/>
  <c r="AB14" i="5"/>
  <c r="AA15" i="5"/>
  <c r="AB15" i="5"/>
  <c r="AA16" i="5"/>
  <c r="AB16" i="5"/>
  <c r="AA17" i="5"/>
  <c r="AB17" i="5"/>
  <c r="AA18" i="5"/>
  <c r="AB18" i="5"/>
  <c r="AA19" i="5"/>
  <c r="AB19" i="5"/>
  <c r="AA20" i="5"/>
  <c r="AB20" i="5"/>
  <c r="AA21" i="5"/>
  <c r="AB21" i="5"/>
  <c r="AA22" i="5"/>
  <c r="AB22" i="5"/>
  <c r="AA23" i="5"/>
  <c r="AB23" i="5"/>
  <c r="AA24" i="5"/>
  <c r="AB24" i="5"/>
  <c r="AA25" i="5"/>
  <c r="AB25" i="5"/>
  <c r="AA26" i="5"/>
  <c r="AB26" i="5"/>
  <c r="AA27" i="5"/>
  <c r="AB27" i="5"/>
  <c r="AA28" i="5"/>
  <c r="AB28" i="5"/>
  <c r="AA29" i="5"/>
  <c r="AB29" i="5"/>
  <c r="AA30" i="5"/>
  <c r="AB30" i="5"/>
  <c r="AA31" i="5"/>
  <c r="AB31" i="5"/>
  <c r="AA32" i="5"/>
  <c r="AB32" i="5"/>
  <c r="AA33" i="5"/>
  <c r="AB33" i="5"/>
  <c r="AA34" i="5"/>
  <c r="AB34" i="5"/>
  <c r="AA35" i="5"/>
  <c r="AB35" i="5"/>
  <c r="AA36" i="5"/>
  <c r="AB36" i="5"/>
  <c r="AA37" i="5"/>
  <c r="AB37" i="5"/>
  <c r="AA38" i="5"/>
  <c r="AB38" i="5"/>
  <c r="AA39" i="5"/>
  <c r="AB39" i="5"/>
  <c r="AA40" i="5"/>
  <c r="AB40" i="5"/>
  <c r="AA41" i="5"/>
  <c r="AB41" i="5"/>
  <c r="AA42" i="5"/>
  <c r="AB42" i="5"/>
  <c r="AA43" i="5"/>
  <c r="AB43" i="5"/>
  <c r="AA44" i="5"/>
  <c r="AB44" i="5"/>
  <c r="AA45" i="5"/>
  <c r="AB45" i="5"/>
  <c r="AA46" i="5"/>
  <c r="AB46" i="5"/>
  <c r="AA47" i="5"/>
  <c r="AB47" i="5"/>
  <c r="AA48" i="5"/>
  <c r="AB48" i="5"/>
  <c r="AA49" i="5"/>
  <c r="AB49" i="5"/>
  <c r="AA50" i="5"/>
  <c r="AB50" i="5"/>
  <c r="AA51" i="5"/>
  <c r="AB51" i="5"/>
  <c r="AA52" i="5"/>
  <c r="AB52" i="5"/>
  <c r="AA53" i="5"/>
  <c r="AB53" i="5"/>
  <c r="AA54" i="5"/>
  <c r="AB54" i="5"/>
  <c r="AA55" i="5"/>
  <c r="AB55" i="5"/>
  <c r="AA56" i="5"/>
  <c r="AB56" i="5"/>
  <c r="AA57" i="5"/>
  <c r="AB57" i="5"/>
  <c r="AA58" i="5"/>
  <c r="AB58" i="5"/>
  <c r="AA59" i="5"/>
  <c r="AB59" i="5"/>
  <c r="AA60" i="5"/>
  <c r="AB60" i="5"/>
  <c r="AA61" i="5"/>
  <c r="AB61" i="5"/>
  <c r="AA62" i="5"/>
  <c r="AB62" i="5"/>
  <c r="AA63" i="5"/>
  <c r="AB63" i="5"/>
  <c r="AA64" i="5"/>
  <c r="AB64" i="5"/>
  <c r="AA65" i="5"/>
  <c r="AB65" i="5"/>
  <c r="AA66" i="5"/>
  <c r="AB66" i="5"/>
  <c r="AA67" i="5"/>
  <c r="AB67" i="5"/>
  <c r="AA68" i="5"/>
  <c r="AB68" i="5"/>
  <c r="AA69" i="5"/>
  <c r="AB69" i="5"/>
  <c r="AA70" i="5"/>
  <c r="AB70" i="5"/>
  <c r="AA71" i="5"/>
  <c r="AB71" i="5"/>
  <c r="AA72" i="5"/>
  <c r="AB72" i="5"/>
  <c r="AA73" i="5"/>
  <c r="AB73" i="5"/>
  <c r="AA74" i="5"/>
  <c r="AB74" i="5"/>
  <c r="AA75" i="5"/>
  <c r="AB75" i="5"/>
  <c r="AA76" i="5"/>
  <c r="AB76" i="5"/>
  <c r="AA77" i="5"/>
  <c r="AB77" i="5"/>
  <c r="AA78" i="5"/>
  <c r="AB78" i="5"/>
  <c r="AA79" i="5"/>
  <c r="AB79" i="5"/>
  <c r="AA80" i="5"/>
  <c r="AB80" i="5"/>
  <c r="AA81" i="5"/>
  <c r="AB81" i="5"/>
  <c r="AA82" i="5"/>
  <c r="AB82" i="5"/>
  <c r="AA83" i="5"/>
  <c r="AB83" i="5"/>
  <c r="AA84" i="5"/>
  <c r="AB84" i="5"/>
  <c r="AA85" i="5"/>
  <c r="AB85" i="5"/>
  <c r="AA86" i="5"/>
  <c r="AB86" i="5"/>
  <c r="AA87" i="5"/>
  <c r="AB87" i="5"/>
  <c r="AA88" i="5"/>
  <c r="AB88" i="5"/>
  <c r="AA89" i="5"/>
  <c r="AB89" i="5"/>
  <c r="AA90" i="5"/>
  <c r="AB90" i="5"/>
  <c r="AA91" i="5"/>
  <c r="AB91" i="5"/>
  <c r="AA92" i="5"/>
  <c r="AB92" i="5"/>
  <c r="AA93" i="5"/>
  <c r="AB93" i="5"/>
  <c r="AA94" i="5"/>
  <c r="AB94" i="5"/>
  <c r="AA95" i="5"/>
  <c r="AB95" i="5"/>
  <c r="AA96" i="5"/>
  <c r="AB96" i="5"/>
  <c r="AA97" i="5"/>
  <c r="AB97" i="5"/>
  <c r="AA98" i="5"/>
  <c r="AB98" i="5"/>
  <c r="AA99" i="5"/>
  <c r="AB99" i="5"/>
  <c r="AA100" i="5"/>
  <c r="AB100" i="5"/>
  <c r="AA101" i="5"/>
  <c r="AB101" i="5"/>
  <c r="AA102" i="5"/>
  <c r="AB102" i="5"/>
  <c r="AA103" i="5"/>
  <c r="AB103" i="5"/>
  <c r="AA104" i="5"/>
  <c r="AB104" i="5"/>
  <c r="AA105" i="5"/>
  <c r="AB105" i="5"/>
  <c r="AA106" i="5"/>
  <c r="AB106" i="5"/>
  <c r="AA107" i="5"/>
  <c r="AB107" i="5"/>
  <c r="AA108" i="5"/>
  <c r="AB108" i="5"/>
  <c r="AA109" i="5"/>
  <c r="AB109" i="5"/>
  <c r="AA110" i="5"/>
  <c r="AB110" i="5"/>
  <c r="AA111" i="5"/>
  <c r="AB111" i="5"/>
  <c r="AA112" i="5"/>
  <c r="AB112" i="5"/>
  <c r="AA113" i="5"/>
  <c r="AB113" i="5"/>
  <c r="AA114" i="5"/>
  <c r="AB114" i="5"/>
  <c r="AA115" i="5"/>
  <c r="AB115" i="5"/>
  <c r="AA116" i="5"/>
  <c r="AB116" i="5"/>
  <c r="AA117" i="5"/>
  <c r="AB117" i="5"/>
  <c r="AA118" i="5"/>
  <c r="AB118" i="5"/>
  <c r="AB13" i="5"/>
  <c r="AA13" i="5"/>
  <c r="V14" i="5"/>
  <c r="W14" i="5" s="1"/>
  <c r="V15" i="5"/>
  <c r="W15" i="5" s="1"/>
  <c r="X15" i="5"/>
  <c r="Y15" i="5"/>
  <c r="V16" i="5"/>
  <c r="W16" i="5" s="1"/>
  <c r="V17" i="5"/>
  <c r="V18" i="5"/>
  <c r="W18" i="5" s="1"/>
  <c r="V19" i="5"/>
  <c r="W19" i="5" s="1"/>
  <c r="V20" i="5"/>
  <c r="W20" i="5"/>
  <c r="X20" i="5"/>
  <c r="Y20" i="5"/>
  <c r="V21" i="5"/>
  <c r="V22" i="5"/>
  <c r="W22" i="5" s="1"/>
  <c r="V23" i="5"/>
  <c r="W23" i="5" s="1"/>
  <c r="V24" i="5"/>
  <c r="X24" i="5" s="1"/>
  <c r="V25" i="5"/>
  <c r="V26" i="5"/>
  <c r="W26" i="5" s="1"/>
  <c r="V27" i="5"/>
  <c r="W27" i="5" s="1"/>
  <c r="V28" i="5"/>
  <c r="W28" i="5" s="1"/>
  <c r="Y28" i="5"/>
  <c r="V29" i="5"/>
  <c r="V30" i="5"/>
  <c r="W30" i="5" s="1"/>
  <c r="V31" i="5"/>
  <c r="W31" i="5" s="1"/>
  <c r="Y31" i="5"/>
  <c r="V32" i="5"/>
  <c r="X32" i="5" s="1"/>
  <c r="V33" i="5"/>
  <c r="V34" i="5"/>
  <c r="V35" i="5"/>
  <c r="W35" i="5" s="1"/>
  <c r="X35" i="5"/>
  <c r="V36" i="5"/>
  <c r="W36" i="5" s="1"/>
  <c r="V37" i="5"/>
  <c r="W37" i="5" s="1"/>
  <c r="V38" i="5"/>
  <c r="Y38" i="5" s="1"/>
  <c r="V39" i="5"/>
  <c r="W39" i="5" s="1"/>
  <c r="X39" i="5"/>
  <c r="V40" i="5"/>
  <c r="X40" i="5" s="1"/>
  <c r="V41" i="5"/>
  <c r="W41" i="5" s="1"/>
  <c r="V42" i="5"/>
  <c r="Y42" i="5" s="1"/>
  <c r="V43" i="5"/>
  <c r="W43" i="5" s="1"/>
  <c r="X43" i="5"/>
  <c r="Y43" i="5"/>
  <c r="V44" i="5"/>
  <c r="W44" i="5" s="1"/>
  <c r="X44" i="5"/>
  <c r="V45" i="5"/>
  <c r="V46" i="5"/>
  <c r="Y46" i="5" s="1"/>
  <c r="V47" i="5"/>
  <c r="W47" i="5" s="1"/>
  <c r="X47" i="5"/>
  <c r="V48" i="5"/>
  <c r="X48" i="5" s="1"/>
  <c r="V49" i="5"/>
  <c r="W49" i="5" s="1"/>
  <c r="V50" i="5"/>
  <c r="V51" i="5"/>
  <c r="W51" i="5" s="1"/>
  <c r="V52" i="5"/>
  <c r="W52" i="5" s="1"/>
  <c r="X52" i="5"/>
  <c r="V53" i="5"/>
  <c r="W53" i="5" s="1"/>
  <c r="V54" i="5"/>
  <c r="Y54" i="5"/>
  <c r="V55" i="5"/>
  <c r="W55" i="5" s="1"/>
  <c r="V56" i="5"/>
  <c r="X56" i="5" s="1"/>
  <c r="V57" i="5"/>
  <c r="W57" i="5" s="1"/>
  <c r="V58" i="5"/>
  <c r="Y58" i="5" s="1"/>
  <c r="V59" i="5"/>
  <c r="W59" i="5" s="1"/>
  <c r="V60" i="5"/>
  <c r="W60" i="5" s="1"/>
  <c r="V61" i="5"/>
  <c r="V62" i="5"/>
  <c r="Y62" i="5"/>
  <c r="V63" i="5"/>
  <c r="W63" i="5" s="1"/>
  <c r="V64" i="5"/>
  <c r="X64" i="5" s="1"/>
  <c r="V65" i="5"/>
  <c r="Y65" i="5" s="1"/>
  <c r="V66" i="5"/>
  <c r="X66" i="5" s="1"/>
  <c r="V67" i="5"/>
  <c r="W67" i="5" s="1"/>
  <c r="V68" i="5"/>
  <c r="W68" i="5" s="1"/>
  <c r="X68" i="5"/>
  <c r="V69" i="5"/>
  <c r="Y69" i="5" s="1"/>
  <c r="V70" i="5"/>
  <c r="X70" i="5" s="1"/>
  <c r="V71" i="5"/>
  <c r="W71" i="5" s="1"/>
  <c r="V72" i="5"/>
  <c r="X72" i="5" s="1"/>
  <c r="V73" i="5"/>
  <c r="Y73" i="5" s="1"/>
  <c r="V74" i="5"/>
  <c r="X74" i="5" s="1"/>
  <c r="V75" i="5"/>
  <c r="W75" i="5" s="1"/>
  <c r="V76" i="5"/>
  <c r="W76" i="5" s="1"/>
  <c r="V77" i="5"/>
  <c r="Y77" i="5" s="1"/>
  <c r="V78" i="5"/>
  <c r="X78" i="5" s="1"/>
  <c r="V79" i="5"/>
  <c r="W79" i="5" s="1"/>
  <c r="V80" i="5"/>
  <c r="X80" i="5" s="1"/>
  <c r="V81" i="5"/>
  <c r="Y81" i="5" s="1"/>
  <c r="V82" i="5"/>
  <c r="X82" i="5" s="1"/>
  <c r="V83" i="5"/>
  <c r="W83" i="5" s="1"/>
  <c r="V84" i="5"/>
  <c r="W84" i="5" s="1"/>
  <c r="V85" i="5"/>
  <c r="Y85" i="5" s="1"/>
  <c r="V86" i="5"/>
  <c r="X86" i="5" s="1"/>
  <c r="V87" i="5"/>
  <c r="W87" i="5" s="1"/>
  <c r="V88" i="5"/>
  <c r="X88" i="5" s="1"/>
  <c r="V89" i="5"/>
  <c r="Y89" i="5" s="1"/>
  <c r="V90" i="5"/>
  <c r="X90" i="5" s="1"/>
  <c r="V91" i="5"/>
  <c r="W91" i="5" s="1"/>
  <c r="V92" i="5"/>
  <c r="W92" i="5" s="1"/>
  <c r="X92" i="5"/>
  <c r="V93" i="5"/>
  <c r="Y93" i="5" s="1"/>
  <c r="V94" i="5"/>
  <c r="X94" i="5" s="1"/>
  <c r="V95" i="5"/>
  <c r="W95" i="5" s="1"/>
  <c r="V96" i="5"/>
  <c r="X96" i="5" s="1"/>
  <c r="V97" i="5"/>
  <c r="Y97" i="5" s="1"/>
  <c r="V98" i="5"/>
  <c r="X98" i="5" s="1"/>
  <c r="V99" i="5"/>
  <c r="X99" i="5" s="1"/>
  <c r="V100" i="5"/>
  <c r="Y100" i="5" s="1"/>
  <c r="V101" i="5"/>
  <c r="X101" i="5" s="1"/>
  <c r="V102" i="5"/>
  <c r="W102" i="5" s="1"/>
  <c r="V103" i="5"/>
  <c r="X103" i="5" s="1"/>
  <c r="V104" i="5"/>
  <c r="Y104" i="5" s="1"/>
  <c r="X104" i="5"/>
  <c r="V105" i="5"/>
  <c r="W105" i="5" s="1"/>
  <c r="Y105" i="5"/>
  <c r="V106" i="5"/>
  <c r="W106" i="5" s="1"/>
  <c r="V107" i="5"/>
  <c r="X107" i="5" s="1"/>
  <c r="V108" i="5"/>
  <c r="Y108" i="5" s="1"/>
  <c r="X108" i="5"/>
  <c r="V109" i="5"/>
  <c r="X109" i="5" s="1"/>
  <c r="V110" i="5"/>
  <c r="W110" i="5" s="1"/>
  <c r="V111" i="5"/>
  <c r="X111" i="5" s="1"/>
  <c r="V112" i="5"/>
  <c r="Y112" i="5" s="1"/>
  <c r="V113" i="5"/>
  <c r="W113" i="5" s="1"/>
  <c r="Y113" i="5"/>
  <c r="V114" i="5"/>
  <c r="W114" i="5" s="1"/>
  <c r="V115" i="5"/>
  <c r="X115" i="5" s="1"/>
  <c r="V116" i="5"/>
  <c r="Y116" i="5" s="1"/>
  <c r="X116" i="5"/>
  <c r="V117" i="5"/>
  <c r="X117" i="5" s="1"/>
  <c r="V118" i="5"/>
  <c r="W118" i="5" s="1"/>
  <c r="V13" i="5"/>
  <c r="Y13" i="5" s="1"/>
  <c r="AB9" i="5"/>
  <c r="AB7" i="5"/>
  <c r="AA9" i="5"/>
  <c r="AA7" i="5"/>
  <c r="M13" i="5"/>
  <c r="L13" i="5"/>
  <c r="H13" i="5"/>
  <c r="J13" i="5"/>
  <c r="I13" i="5"/>
  <c r="S102" i="5" l="1"/>
  <c r="S106" i="5"/>
  <c r="S110" i="5"/>
  <c r="S114" i="5"/>
  <c r="S118" i="5"/>
  <c r="S122" i="5"/>
  <c r="S126" i="5"/>
  <c r="S130" i="5"/>
  <c r="S134" i="5"/>
  <c r="S138" i="5"/>
  <c r="S142" i="5"/>
  <c r="S146" i="5"/>
  <c r="S150" i="5"/>
  <c r="S70" i="5"/>
  <c r="S74" i="5"/>
  <c r="S78" i="5"/>
  <c r="S82" i="5"/>
  <c r="S86" i="5"/>
  <c r="S90" i="5"/>
  <c r="S94" i="5"/>
  <c r="S98" i="5"/>
  <c r="S69" i="5"/>
  <c r="S73" i="5"/>
  <c r="S77" i="5"/>
  <c r="S81" i="5"/>
  <c r="S85" i="5"/>
  <c r="S89" i="5"/>
  <c r="S93" i="5"/>
  <c r="S97" i="5"/>
  <c r="S101" i="5"/>
  <c r="S105" i="5"/>
  <c r="S109" i="5"/>
  <c r="S113" i="5"/>
  <c r="S117" i="5"/>
  <c r="S121" i="5"/>
  <c r="S125" i="5"/>
  <c r="S129" i="5"/>
  <c r="S133" i="5"/>
  <c r="S137" i="5"/>
  <c r="S141" i="5"/>
  <c r="S145" i="5"/>
  <c r="S149" i="5"/>
  <c r="W13" i="5"/>
  <c r="Y24" i="5"/>
  <c r="Z20" i="5"/>
  <c r="X112" i="5"/>
  <c r="X100" i="5"/>
  <c r="Y35" i="5"/>
  <c r="W24" i="5"/>
  <c r="Y16" i="5"/>
  <c r="Y117" i="5"/>
  <c r="X113" i="5"/>
  <c r="Z113" i="5" s="1"/>
  <c r="Y109" i="5"/>
  <c r="X105" i="5"/>
  <c r="Z105" i="5" s="1"/>
  <c r="Y101" i="5"/>
  <c r="Y59" i="5"/>
  <c r="Y32" i="5"/>
  <c r="X28" i="5"/>
  <c r="Z28" i="5" s="1"/>
  <c r="W117" i="5"/>
  <c r="Z117" i="5" s="1"/>
  <c r="Y111" i="5"/>
  <c r="W109" i="5"/>
  <c r="Z109" i="5" s="1"/>
  <c r="Y103" i="5"/>
  <c r="W101" i="5"/>
  <c r="Z101" i="5" s="1"/>
  <c r="X84" i="5"/>
  <c r="X63" i="5"/>
  <c r="X59" i="5"/>
  <c r="Y51" i="5"/>
  <c r="X36" i="5"/>
  <c r="W32" i="5"/>
  <c r="Y23" i="5"/>
  <c r="Y14" i="5"/>
  <c r="X76" i="5"/>
  <c r="X60" i="5"/>
  <c r="X55" i="5"/>
  <c r="X51" i="5"/>
  <c r="Y115" i="5"/>
  <c r="Z115" i="5" s="1"/>
  <c r="Y107" i="5"/>
  <c r="Z107" i="5" s="1"/>
  <c r="Y99" i="5"/>
  <c r="W115" i="5"/>
  <c r="W107" i="5"/>
  <c r="W99" i="5"/>
  <c r="Z99" i="5" s="1"/>
  <c r="W97" i="5"/>
  <c r="W96" i="5"/>
  <c r="W94" i="5"/>
  <c r="Y92" i="5"/>
  <c r="Z92" i="5" s="1"/>
  <c r="X91" i="5"/>
  <c r="W89" i="5"/>
  <c r="W88" i="5"/>
  <c r="Z88" i="5" s="1"/>
  <c r="W86" i="5"/>
  <c r="Y84" i="5"/>
  <c r="X83" i="5"/>
  <c r="W81" i="5"/>
  <c r="W80" i="5"/>
  <c r="Z80" i="5" s="1"/>
  <c r="W78" i="5"/>
  <c r="Y76" i="5"/>
  <c r="X75" i="5"/>
  <c r="W73" i="5"/>
  <c r="W72" i="5"/>
  <c r="W70" i="5"/>
  <c r="Y68" i="5"/>
  <c r="Z68" i="5" s="1"/>
  <c r="X67" i="5"/>
  <c r="W65" i="5"/>
  <c r="W64" i="5"/>
  <c r="Y60" i="5"/>
  <c r="Z60" i="5" s="1"/>
  <c r="W56" i="5"/>
  <c r="Y52" i="5"/>
  <c r="Z52" i="5" s="1"/>
  <c r="W48" i="5"/>
  <c r="Y44" i="5"/>
  <c r="W40" i="5"/>
  <c r="Y36" i="5"/>
  <c r="Z36" i="5" s="1"/>
  <c r="Y30" i="5"/>
  <c r="X27" i="5"/>
  <c r="Y22" i="5"/>
  <c r="X19" i="5"/>
  <c r="W111" i="5"/>
  <c r="Z111" i="5" s="1"/>
  <c r="W103" i="5"/>
  <c r="W98" i="5"/>
  <c r="Y96" i="5"/>
  <c r="X95" i="5"/>
  <c r="W93" i="5"/>
  <c r="W90" i="5"/>
  <c r="Y88" i="5"/>
  <c r="X87" i="5"/>
  <c r="W85" i="5"/>
  <c r="W82" i="5"/>
  <c r="Y80" i="5"/>
  <c r="X79" i="5"/>
  <c r="W77" i="5"/>
  <c r="W74" i="5"/>
  <c r="Y72" i="5"/>
  <c r="X71" i="5"/>
  <c r="W69" i="5"/>
  <c r="W66" i="5"/>
  <c r="Y64" i="5"/>
  <c r="Y63" i="5"/>
  <c r="Y56" i="5"/>
  <c r="Y55" i="5"/>
  <c r="Z55" i="5" s="1"/>
  <c r="Y48" i="5"/>
  <c r="Y47" i="5"/>
  <c r="Y40" i="5"/>
  <c r="Y39" i="5"/>
  <c r="Z39" i="5" s="1"/>
  <c r="X31" i="5"/>
  <c r="Y26" i="5"/>
  <c r="X23" i="5"/>
  <c r="Y18" i="5"/>
  <c r="X16" i="5"/>
  <c r="Z32" i="5"/>
  <c r="Y27" i="5"/>
  <c r="Z24" i="5"/>
  <c r="Y19" i="5"/>
  <c r="N4" i="1"/>
  <c r="S4" i="1" s="1"/>
  <c r="N6" i="1"/>
  <c r="S6" i="1" s="1"/>
  <c r="N10" i="1"/>
  <c r="W25" i="5"/>
  <c r="X25" i="5"/>
  <c r="Y25" i="5"/>
  <c r="Y118" i="5"/>
  <c r="W116" i="5"/>
  <c r="Z116" i="5" s="1"/>
  <c r="Y114" i="5"/>
  <c r="W112" i="5"/>
  <c r="Y110" i="5"/>
  <c r="W108" i="5"/>
  <c r="Z108" i="5" s="1"/>
  <c r="Y106" i="5"/>
  <c r="W104" i="5"/>
  <c r="Z104" i="5" s="1"/>
  <c r="Y102" i="5"/>
  <c r="W100" i="5"/>
  <c r="Y98" i="5"/>
  <c r="X97" i="5"/>
  <c r="Z97" i="5" s="1"/>
  <c r="Y95" i="5"/>
  <c r="Z95" i="5" s="1"/>
  <c r="Y94" i="5"/>
  <c r="X93" i="5"/>
  <c r="Y91" i="5"/>
  <c r="Z91" i="5" s="1"/>
  <c r="Y90" i="5"/>
  <c r="X89" i="5"/>
  <c r="Y87" i="5"/>
  <c r="Z87" i="5" s="1"/>
  <c r="Y86" i="5"/>
  <c r="X85" i="5"/>
  <c r="Y83" i="5"/>
  <c r="Y82" i="5"/>
  <c r="X81" i="5"/>
  <c r="Y79" i="5"/>
  <c r="Z79" i="5" s="1"/>
  <c r="Y78" i="5"/>
  <c r="Z78" i="5" s="1"/>
  <c r="X77" i="5"/>
  <c r="Y75" i="5"/>
  <c r="Y74" i="5"/>
  <c r="X73" i="5"/>
  <c r="Y71" i="5"/>
  <c r="Z71" i="5" s="1"/>
  <c r="Y70" i="5"/>
  <c r="Z70" i="5" s="1"/>
  <c r="X69" i="5"/>
  <c r="Y67" i="5"/>
  <c r="Y66" i="5"/>
  <c r="X65" i="5"/>
  <c r="Z65" i="5" s="1"/>
  <c r="W62" i="5"/>
  <c r="X62" i="5"/>
  <c r="X57" i="5"/>
  <c r="Y57" i="5"/>
  <c r="Z51" i="5"/>
  <c r="W46" i="5"/>
  <c r="X46" i="5"/>
  <c r="X41" i="5"/>
  <c r="Y41" i="5"/>
  <c r="Z35" i="5"/>
  <c r="Z31" i="5"/>
  <c r="W29" i="5"/>
  <c r="X29" i="5"/>
  <c r="Y29" i="5"/>
  <c r="Z15" i="5"/>
  <c r="X61" i="5"/>
  <c r="Y61" i="5"/>
  <c r="W50" i="5"/>
  <c r="X50" i="5"/>
  <c r="X45" i="5"/>
  <c r="Y45" i="5"/>
  <c r="W34" i="5"/>
  <c r="X34" i="5"/>
  <c r="X118" i="5"/>
  <c r="X114" i="5"/>
  <c r="X110" i="5"/>
  <c r="X106" i="5"/>
  <c r="X102" i="5"/>
  <c r="Z96" i="5"/>
  <c r="Z84" i="5"/>
  <c r="Z76" i="5"/>
  <c r="Z72" i="5"/>
  <c r="Z64" i="5"/>
  <c r="Z63" i="5"/>
  <c r="W58" i="5"/>
  <c r="X58" i="5"/>
  <c r="X53" i="5"/>
  <c r="Y53" i="5"/>
  <c r="Z47" i="5"/>
  <c r="W42" i="5"/>
  <c r="X42" i="5"/>
  <c r="X37" i="5"/>
  <c r="Y37" i="5"/>
  <c r="W33" i="5"/>
  <c r="X33" i="5"/>
  <c r="Y33" i="5"/>
  <c r="W17" i="5"/>
  <c r="X17" i="5"/>
  <c r="Y17" i="5"/>
  <c r="W61" i="5"/>
  <c r="Z59" i="5"/>
  <c r="W54" i="5"/>
  <c r="X54" i="5"/>
  <c r="Y50" i="5"/>
  <c r="X49" i="5"/>
  <c r="Y49" i="5"/>
  <c r="W45" i="5"/>
  <c r="Z44" i="5"/>
  <c r="Z43" i="5"/>
  <c r="W38" i="5"/>
  <c r="X38" i="5"/>
  <c r="Y34" i="5"/>
  <c r="Z23" i="5"/>
  <c r="W21" i="5"/>
  <c r="X21" i="5"/>
  <c r="Y21" i="5"/>
  <c r="X30" i="5"/>
  <c r="Z30" i="5" s="1"/>
  <c r="X26" i="5"/>
  <c r="Z26" i="5" s="1"/>
  <c r="X22" i="5"/>
  <c r="X18" i="5"/>
  <c r="X14" i="5"/>
  <c r="Z14" i="5" s="1"/>
  <c r="X13" i="5"/>
  <c r="K13" i="5"/>
  <c r="Z103" i="5" l="1"/>
  <c r="Z114" i="5"/>
  <c r="Z100" i="5"/>
  <c r="Z27" i="5"/>
  <c r="Z13" i="5"/>
  <c r="Z75" i="5"/>
  <c r="Z81" i="5"/>
  <c r="Z112" i="5"/>
  <c r="Z16" i="5"/>
  <c r="Z37" i="5"/>
  <c r="Z102" i="5"/>
  <c r="Z77" i="5"/>
  <c r="Z93" i="5"/>
  <c r="Z48" i="5"/>
  <c r="Z61" i="5"/>
  <c r="Z118" i="5"/>
  <c r="Z86" i="5"/>
  <c r="Z45" i="5"/>
  <c r="Z110" i="5"/>
  <c r="Z67" i="5"/>
  <c r="Z73" i="5"/>
  <c r="Z19" i="5"/>
  <c r="Z18" i="5"/>
  <c r="Z38" i="5"/>
  <c r="Z53" i="5"/>
  <c r="Z57" i="5"/>
  <c r="Z82" i="5"/>
  <c r="Z98" i="5"/>
  <c r="Z22" i="5"/>
  <c r="Z29" i="5"/>
  <c r="Z83" i="5"/>
  <c r="Z89" i="5"/>
  <c r="Z94" i="5"/>
  <c r="Z25" i="5"/>
  <c r="Z40" i="5"/>
  <c r="Z54" i="5"/>
  <c r="Z66" i="5"/>
  <c r="Z49" i="5"/>
  <c r="Z106" i="5"/>
  <c r="Z41" i="5"/>
  <c r="Z69" i="5"/>
  <c r="Z74" i="5"/>
  <c r="Z85" i="5"/>
  <c r="Z90" i="5"/>
  <c r="Z56" i="5"/>
  <c r="Z17" i="5"/>
  <c r="Z33" i="5"/>
  <c r="Z42" i="5"/>
  <c r="Z21" i="5"/>
  <c r="Z58" i="5"/>
  <c r="Z46" i="5"/>
  <c r="Z34" i="5"/>
  <c r="Z50" i="5"/>
  <c r="Z62" i="5"/>
  <c r="E4" i="3" l="1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3" i="3"/>
  <c r="F22" i="1"/>
  <c r="G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H3" i="1"/>
  <c r="G3" i="1"/>
  <c r="F3" i="1"/>
</calcChain>
</file>

<file path=xl/sharedStrings.xml><?xml version="1.0" encoding="utf-8"?>
<sst xmlns="http://schemas.openxmlformats.org/spreadsheetml/2006/main" count="108" uniqueCount="51">
  <si>
    <t>Elevation (m)</t>
  </si>
  <si>
    <t>Area (ha)</t>
  </si>
  <si>
    <t>Volume (1000m3)</t>
  </si>
  <si>
    <t>glennifer_lake_resinfo</t>
  </si>
  <si>
    <t>elevation</t>
  </si>
  <si>
    <t>area</t>
  </si>
  <si>
    <t>volume</t>
  </si>
  <si>
    <t>Maximum Outflow (m3/s)</t>
  </si>
  <si>
    <t>glennifer_lake_outflow_elev</t>
  </si>
  <si>
    <t>max_outflow</t>
  </si>
  <si>
    <t>Flow (m3/s)</t>
  </si>
  <si>
    <t>Travel Time Ts (hours)</t>
  </si>
  <si>
    <t>travel_time_flow</t>
  </si>
  <si>
    <t>flow</t>
  </si>
  <si>
    <t>travel_time</t>
  </si>
  <si>
    <t>Date</t>
  </si>
  <si>
    <t>Node 2</t>
  </si>
  <si>
    <t>Node 5</t>
  </si>
  <si>
    <t>Part A:</t>
  </si>
  <si>
    <t>CALSIM</t>
  </si>
  <si>
    <t>Part B:</t>
  </si>
  <si>
    <t>Part C:</t>
  </si>
  <si>
    <t>Part D:</t>
  </si>
  <si>
    <t>Part E:</t>
  </si>
  <si>
    <t>1DAY</t>
  </si>
  <si>
    <t>Part F:</t>
  </si>
  <si>
    <t>INITIAL</t>
  </si>
  <si>
    <t>Beg. Date:</t>
  </si>
  <si>
    <t>Beg. Time:</t>
  </si>
  <si>
    <t>End Date:</t>
  </si>
  <si>
    <t>End Time:</t>
  </si>
  <si>
    <t>Units:</t>
  </si>
  <si>
    <t>Data Type:</t>
  </si>
  <si>
    <t>WY</t>
  </si>
  <si>
    <t>Month</t>
  </si>
  <si>
    <t>Day</t>
  </si>
  <si>
    <t>ID</t>
  </si>
  <si>
    <t>PER-AVER</t>
  </si>
  <si>
    <t>2020D09E</t>
  </si>
  <si>
    <t>I2</t>
  </si>
  <si>
    <t>FLOW-INFLOW</t>
  </si>
  <si>
    <t>I5</t>
  </si>
  <si>
    <t>CMS</t>
  </si>
  <si>
    <t>Storage (m3)</t>
  </si>
  <si>
    <t>storage</t>
  </si>
  <si>
    <t>discharge</t>
  </si>
  <si>
    <t>Storage (1000m3)</t>
  </si>
  <si>
    <t>STORAGE</t>
  </si>
  <si>
    <t>INST-VAL</t>
  </si>
  <si>
    <t>S3</t>
  </si>
  <si>
    <t>1000M3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</si>
</sst>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/>
    <xf numFmtId="0" fontId="4" fillId="0" borderId="3" xfId="0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0" fontId="4" fillId="0" borderId="6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15" fontId="5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/>
    </xf>
    <xf numFmtId="0" fontId="6" fillId="0" borderId="0" xfId="0" applyFont="1"/>
    <xf numFmtId="49" fontId="1" fillId="0" borderId="0" xfId="0" applyNumberFormat="1" applyFont="1" applyAlignment="1">
      <alignment horizontal="right"/>
    </xf>
    <xf numFmtId="14" fontId="0" fillId="0" borderId="0" xfId="0" applyNumberFormat="1"/>
    <xf numFmtId="0" fontId="6" fillId="0" borderId="0" xfId="0" applyFont="1" applyAlignment="1">
      <alignment horizontal="right"/>
    </xf>
    <xf numFmtId="164" fontId="6" fillId="0" borderId="0" xfId="0" applyNumberFormat="1" applyFont="1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0" fillId="0" borderId="0" xfId="0" applyNumberFormat="1"/>
    <xf numFmtId="0" fontId="4" fillId="0" borderId="4" xfId="0" applyNumberFormat="1" applyFont="1" applyBorder="1" applyAlignment="1">
      <alignment horizontal="right" vertical="center"/>
    </xf>
    <xf numFmtId="0" fontId="4" fillId="2" borderId="6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38EE8-9360-49D2-A93C-B58D9C42907D}">
  <dimension ref="A1:S22"/>
  <sheetViews>
    <sheetView workbookViewId="0">
      <selection activeCell="M13" sqref="M13"/>
    </sheetView>
  </sheetViews>
  <sheetFormatPr defaultRowHeight="15" x14ac:dyDescent="0.25"/>
  <cols>
    <col min="1" max="1" width="9.28515625" bestFit="1" customWidth="1"/>
    <col min="3" max="3" width="10" bestFit="1" customWidth="1"/>
    <col min="4" max="4" width="10" customWidth="1"/>
    <col min="6" max="6" width="20.85546875" customWidth="1"/>
    <col min="11" max="11" width="12.85546875" bestFit="1" customWidth="1"/>
    <col min="12" max="12" width="24.28515625" bestFit="1" customWidth="1"/>
    <col min="13" max="13" width="12.28515625" bestFit="1" customWidth="1"/>
    <col min="14" max="14" width="16.42578125" bestFit="1" customWidth="1"/>
    <col min="15" max="15" width="16.42578125" customWidth="1"/>
    <col min="17" max="17" width="27.28515625" bestFit="1" customWidth="1"/>
    <col min="18" max="18" width="9.42578125" bestFit="1" customWidth="1"/>
    <col min="19" max="19" width="10" bestFit="1" customWidth="1"/>
  </cols>
  <sheetData>
    <row r="1" spans="1:19" ht="30.75" thickBot="1" x14ac:dyDescent="0.3">
      <c r="F1" s="7" t="s">
        <v>3</v>
      </c>
      <c r="P1" s="8"/>
      <c r="Q1" s="15" t="s">
        <v>8</v>
      </c>
    </row>
    <row r="2" spans="1:19" ht="30.75" thickBot="1" x14ac:dyDescent="0.3">
      <c r="A2" s="1" t="s">
        <v>0</v>
      </c>
      <c r="B2" s="2" t="s">
        <v>1</v>
      </c>
      <c r="C2" s="2" t="s">
        <v>2</v>
      </c>
      <c r="D2" s="2" t="s">
        <v>45</v>
      </c>
      <c r="F2" t="s">
        <v>4</v>
      </c>
      <c r="G2" t="s">
        <v>5</v>
      </c>
      <c r="H2" t="s">
        <v>6</v>
      </c>
      <c r="I2" t="s">
        <v>45</v>
      </c>
      <c r="K2" s="14" t="s">
        <v>0</v>
      </c>
      <c r="L2" s="13" t="s">
        <v>7</v>
      </c>
      <c r="M2" s="14" t="s">
        <v>43</v>
      </c>
      <c r="N2" s="14" t="s">
        <v>46</v>
      </c>
      <c r="O2" s="24"/>
      <c r="P2" s="8"/>
      <c r="Q2" t="s">
        <v>9</v>
      </c>
      <c r="R2" t="s">
        <v>4</v>
      </c>
      <c r="S2" t="s">
        <v>44</v>
      </c>
    </row>
    <row r="3" spans="1:19" x14ac:dyDescent="0.25">
      <c r="A3" s="3">
        <v>917</v>
      </c>
      <c r="B3" s="4">
        <v>0</v>
      </c>
      <c r="C3" s="4">
        <v>0</v>
      </c>
      <c r="D3" s="29">
        <v>0</v>
      </c>
      <c r="F3">
        <f>A3</f>
        <v>917</v>
      </c>
      <c r="G3">
        <f t="shared" ref="G3:G21" si="0">B3</f>
        <v>0</v>
      </c>
      <c r="H3">
        <f t="shared" ref="H3" si="1">C3</f>
        <v>0</v>
      </c>
      <c r="I3">
        <f>D3</f>
        <v>0</v>
      </c>
      <c r="K3" s="10">
        <v>926</v>
      </c>
      <c r="L3" s="9">
        <v>0</v>
      </c>
      <c r="M3" s="27">
        <f t="shared" ref="M3:M9" ca="1" si="2">FORECAST(K3,OFFSET(known_vol,MATCH(K3,known_elevation,1)-1,0,2),OFFSET(known_elevation,MATCH(K3,known_elevation,1)-1,0,2))*1000</f>
        <v>16651510.000000242</v>
      </c>
      <c r="N3" s="10">
        <f ca="1">M3/1000</f>
        <v>16651.510000000242</v>
      </c>
      <c r="O3" s="25">
        <f t="shared" ref="O3:O10" si="3">_xlfn.FORECAST.LINEAR(K3,known_vol,known_elevation)</f>
        <v>14163.695991362445</v>
      </c>
      <c r="P3" s="8"/>
      <c r="Q3">
        <f t="shared" ref="Q3:Q10" si="4">L3</f>
        <v>0</v>
      </c>
      <c r="R3">
        <f t="shared" ref="R3:R10" si="5">K3</f>
        <v>926</v>
      </c>
      <c r="S3" s="26">
        <f ca="1">N3</f>
        <v>16651.510000000242</v>
      </c>
    </row>
    <row r="4" spans="1:19" x14ac:dyDescent="0.25">
      <c r="A4" s="3">
        <v>924</v>
      </c>
      <c r="B4" s="4">
        <v>292.43400000000003</v>
      </c>
      <c r="C4" s="4">
        <v>10235.19</v>
      </c>
      <c r="D4" s="29">
        <v>0</v>
      </c>
      <c r="F4">
        <f t="shared" ref="F4:F21" si="6">A4</f>
        <v>924</v>
      </c>
      <c r="G4">
        <f t="shared" si="0"/>
        <v>292.43400000000003</v>
      </c>
      <c r="H4">
        <f>C4</f>
        <v>10235.19</v>
      </c>
      <c r="I4">
        <f t="shared" ref="I4:I22" si="7">D4</f>
        <v>0</v>
      </c>
      <c r="K4" s="10">
        <v>930</v>
      </c>
      <c r="L4" s="9">
        <v>62.4</v>
      </c>
      <c r="M4" s="10">
        <f t="shared" ca="1" si="2"/>
        <v>33466640.000000596</v>
      </c>
      <c r="N4" s="10">
        <f t="shared" ref="N4:N10" ca="1" si="8">M4/1000</f>
        <v>33466.640000000596</v>
      </c>
      <c r="O4" s="25">
        <f t="shared" si="3"/>
        <v>46651.845374951139</v>
      </c>
      <c r="P4" s="8"/>
      <c r="Q4">
        <f t="shared" si="4"/>
        <v>62.4</v>
      </c>
      <c r="R4">
        <f t="shared" si="5"/>
        <v>930</v>
      </c>
      <c r="S4" s="26">
        <f t="shared" ref="S4:S10" ca="1" si="9">N4</f>
        <v>33466.640000000596</v>
      </c>
    </row>
    <row r="5" spans="1:19" x14ac:dyDescent="0.25">
      <c r="A5" s="3">
        <v>926</v>
      </c>
      <c r="B5" s="4">
        <v>349.19799999999998</v>
      </c>
      <c r="C5" s="4">
        <v>16651.509999999998</v>
      </c>
      <c r="D5" s="4">
        <f t="shared" ref="D5:D21" ca="1" si="10">FORECAST(A5,OFFSET(known_outflow,MATCH(A5,known_elev,1)-1,0,2),OFFSET(known_elev,MATCH(A5,known_elev,1)-1,0,2))</f>
        <v>1.8189894035458565E-12</v>
      </c>
      <c r="F5">
        <f t="shared" si="6"/>
        <v>926</v>
      </c>
      <c r="G5">
        <f t="shared" si="0"/>
        <v>349.19799999999998</v>
      </c>
      <c r="H5">
        <f t="shared" ref="H5:H22" si="11">C5</f>
        <v>16651.509999999998</v>
      </c>
      <c r="I5">
        <f t="shared" ca="1" si="7"/>
        <v>1.8189894035458565E-12</v>
      </c>
      <c r="K5" s="10">
        <v>940.5</v>
      </c>
      <c r="L5" s="9">
        <v>78.599999999999994</v>
      </c>
      <c r="M5" s="10">
        <f t="shared" ca="1" si="2"/>
        <v>115015140.0000006</v>
      </c>
      <c r="N5" s="10">
        <f t="shared" ca="1" si="8"/>
        <v>115015.1400000006</v>
      </c>
      <c r="O5" s="25">
        <f t="shared" si="3"/>
        <v>131933.23750687111</v>
      </c>
      <c r="P5" s="8"/>
      <c r="Q5">
        <f t="shared" si="4"/>
        <v>78.599999999999994</v>
      </c>
      <c r="R5">
        <f t="shared" si="5"/>
        <v>940.5</v>
      </c>
      <c r="S5" s="26">
        <f t="shared" ca="1" si="9"/>
        <v>115015.1400000006</v>
      </c>
    </row>
    <row r="6" spans="1:19" x14ac:dyDescent="0.25">
      <c r="A6" s="3">
        <v>928</v>
      </c>
      <c r="B6" s="4">
        <v>417.495</v>
      </c>
      <c r="C6" s="4">
        <v>24318.44</v>
      </c>
      <c r="D6" s="4">
        <f t="shared" ca="1" si="10"/>
        <v>31.200000000000728</v>
      </c>
      <c r="F6">
        <f t="shared" si="6"/>
        <v>928</v>
      </c>
      <c r="G6">
        <f t="shared" si="0"/>
        <v>417.495</v>
      </c>
      <c r="H6">
        <f t="shared" si="11"/>
        <v>24318.44</v>
      </c>
      <c r="I6">
        <f t="shared" ca="1" si="7"/>
        <v>31.200000000000728</v>
      </c>
      <c r="K6" s="10">
        <v>942</v>
      </c>
      <c r="L6" s="9">
        <v>160</v>
      </c>
      <c r="M6" s="10">
        <f t="shared" ca="1" si="2"/>
        <v>132350269.99999955</v>
      </c>
      <c r="N6" s="10">
        <f t="shared" ca="1" si="8"/>
        <v>132350.26999999955</v>
      </c>
      <c r="O6" s="25">
        <f t="shared" si="3"/>
        <v>144116.29352571722</v>
      </c>
      <c r="P6" s="8"/>
      <c r="Q6">
        <f t="shared" si="4"/>
        <v>160</v>
      </c>
      <c r="R6">
        <f t="shared" si="5"/>
        <v>942</v>
      </c>
      <c r="S6" s="26">
        <f t="shared" ca="1" si="9"/>
        <v>132350.26999999955</v>
      </c>
    </row>
    <row r="7" spans="1:19" x14ac:dyDescent="0.25">
      <c r="A7" s="3">
        <v>930</v>
      </c>
      <c r="B7" s="4">
        <v>497.32499999999999</v>
      </c>
      <c r="C7" s="4">
        <v>33466.639999999999</v>
      </c>
      <c r="D7" s="4">
        <f t="shared" ca="1" si="10"/>
        <v>62.399999999999864</v>
      </c>
      <c r="F7">
        <f t="shared" si="6"/>
        <v>930</v>
      </c>
      <c r="G7">
        <f t="shared" si="0"/>
        <v>497.32499999999999</v>
      </c>
      <c r="H7">
        <f t="shared" si="11"/>
        <v>33466.639999999999</v>
      </c>
      <c r="I7">
        <f t="shared" ca="1" si="7"/>
        <v>62.399999999999864</v>
      </c>
      <c r="K7" s="10">
        <v>944</v>
      </c>
      <c r="L7" s="9">
        <v>550</v>
      </c>
      <c r="M7" s="10">
        <f t="shared" ca="1" si="2"/>
        <v>158311259.99999976</v>
      </c>
      <c r="N7" s="10">
        <f t="shared" ca="1" si="8"/>
        <v>158311.25999999975</v>
      </c>
      <c r="O7" s="25">
        <f t="shared" si="3"/>
        <v>160360.3682175111</v>
      </c>
      <c r="P7" s="8"/>
      <c r="Q7">
        <f t="shared" si="4"/>
        <v>550</v>
      </c>
      <c r="R7">
        <f t="shared" si="5"/>
        <v>944</v>
      </c>
      <c r="S7" s="26">
        <f t="shared" ca="1" si="9"/>
        <v>158311.25999999975</v>
      </c>
    </row>
    <row r="8" spans="1:19" x14ac:dyDescent="0.25">
      <c r="A8" s="3">
        <v>932</v>
      </c>
      <c r="B8" s="4">
        <v>588.68700000000001</v>
      </c>
      <c r="C8" s="4">
        <v>44326.76</v>
      </c>
      <c r="D8" s="4">
        <f t="shared" ca="1" si="10"/>
        <v>65.485714285714266</v>
      </c>
      <c r="F8">
        <f t="shared" si="6"/>
        <v>932</v>
      </c>
      <c r="G8">
        <f t="shared" si="0"/>
        <v>588.68700000000001</v>
      </c>
      <c r="H8">
        <f t="shared" si="11"/>
        <v>44326.76</v>
      </c>
      <c r="I8">
        <f t="shared" ca="1" si="7"/>
        <v>65.485714285714266</v>
      </c>
      <c r="K8" s="10">
        <v>946</v>
      </c>
      <c r="L8" s="9">
        <v>1125</v>
      </c>
      <c r="M8" s="10">
        <f t="shared" ca="1" si="2"/>
        <v>187598750</v>
      </c>
      <c r="N8" s="10">
        <f t="shared" ca="1" si="8"/>
        <v>187598.75</v>
      </c>
      <c r="O8" s="25">
        <f t="shared" si="3"/>
        <v>176604.44290930498</v>
      </c>
      <c r="P8" s="8"/>
      <c r="Q8">
        <f t="shared" si="4"/>
        <v>1125</v>
      </c>
      <c r="R8">
        <f t="shared" si="5"/>
        <v>946</v>
      </c>
      <c r="S8" s="26">
        <f t="shared" ca="1" si="9"/>
        <v>187598.75</v>
      </c>
    </row>
    <row r="9" spans="1:19" x14ac:dyDescent="0.25">
      <c r="A9" s="3">
        <v>934</v>
      </c>
      <c r="B9" s="4">
        <v>691.58299999999997</v>
      </c>
      <c r="C9" s="4">
        <v>57129.46</v>
      </c>
      <c r="D9" s="4">
        <f t="shared" ca="1" si="10"/>
        <v>68.571428571428442</v>
      </c>
      <c r="F9">
        <f t="shared" si="6"/>
        <v>934</v>
      </c>
      <c r="G9">
        <f t="shared" si="0"/>
        <v>691.58299999999997</v>
      </c>
      <c r="H9">
        <f t="shared" si="11"/>
        <v>57129.46</v>
      </c>
      <c r="I9">
        <f t="shared" ca="1" si="7"/>
        <v>68.571428571428442</v>
      </c>
      <c r="K9" s="10">
        <v>948</v>
      </c>
      <c r="L9" s="9">
        <v>1875</v>
      </c>
      <c r="M9" s="10">
        <f t="shared" ca="1" si="2"/>
        <v>220443410.00000015</v>
      </c>
      <c r="N9" s="10">
        <f t="shared" ca="1" si="8"/>
        <v>220443.41000000015</v>
      </c>
      <c r="O9" s="25">
        <f t="shared" si="3"/>
        <v>192848.5176010998</v>
      </c>
      <c r="P9" s="8"/>
      <c r="Q9">
        <f t="shared" si="4"/>
        <v>1875</v>
      </c>
      <c r="R9">
        <f t="shared" si="5"/>
        <v>948</v>
      </c>
      <c r="S9" s="26">
        <f t="shared" ca="1" si="9"/>
        <v>220443.41000000015</v>
      </c>
    </row>
    <row r="10" spans="1:19" ht="15.75" thickBot="1" x14ac:dyDescent="0.3">
      <c r="A10" s="3">
        <v>935</v>
      </c>
      <c r="B10" s="4">
        <v>747.35500000000002</v>
      </c>
      <c r="C10" s="4">
        <v>64324.15</v>
      </c>
      <c r="D10" s="4">
        <f t="shared" ca="1" si="10"/>
        <v>70.114285714285643</v>
      </c>
      <c r="F10">
        <f t="shared" si="6"/>
        <v>935</v>
      </c>
      <c r="G10">
        <f t="shared" si="0"/>
        <v>747.35500000000002</v>
      </c>
      <c r="H10">
        <f t="shared" si="11"/>
        <v>64324.15</v>
      </c>
      <c r="I10">
        <f t="shared" ca="1" si="7"/>
        <v>70.114285714285643</v>
      </c>
      <c r="K10" s="12">
        <v>950</v>
      </c>
      <c r="L10" s="11">
        <v>2625</v>
      </c>
      <c r="M10" s="28">
        <f>_xlfn.XLOOKUP(K10,known_elevation,known_vol)*1000</f>
        <v>257090300</v>
      </c>
      <c r="N10" s="12">
        <f t="shared" si="8"/>
        <v>257090.3</v>
      </c>
      <c r="O10" s="25">
        <f t="shared" si="3"/>
        <v>209092.59229289368</v>
      </c>
      <c r="Q10">
        <f t="shared" si="4"/>
        <v>2625</v>
      </c>
      <c r="R10">
        <f t="shared" si="5"/>
        <v>950</v>
      </c>
      <c r="S10" s="26">
        <f t="shared" si="9"/>
        <v>257090.3</v>
      </c>
    </row>
    <row r="11" spans="1:19" x14ac:dyDescent="0.25">
      <c r="A11" s="3">
        <v>936</v>
      </c>
      <c r="B11" s="4">
        <v>806.01</v>
      </c>
      <c r="C11" s="4">
        <v>72090.98</v>
      </c>
      <c r="D11" s="4">
        <f t="shared" ca="1" si="10"/>
        <v>71.657142857142844</v>
      </c>
      <c r="F11">
        <f t="shared" si="6"/>
        <v>936</v>
      </c>
      <c r="G11">
        <f t="shared" si="0"/>
        <v>806.01</v>
      </c>
      <c r="H11">
        <f t="shared" si="11"/>
        <v>72090.98</v>
      </c>
      <c r="I11">
        <f t="shared" ca="1" si="7"/>
        <v>71.657142857142844</v>
      </c>
    </row>
    <row r="12" spans="1:19" x14ac:dyDescent="0.25">
      <c r="A12" s="3">
        <v>938</v>
      </c>
      <c r="B12" s="4">
        <v>931.971</v>
      </c>
      <c r="C12" s="4">
        <v>89470.79</v>
      </c>
      <c r="D12" s="4">
        <f t="shared" ca="1" si="10"/>
        <v>74.742857142857019</v>
      </c>
      <c r="F12">
        <f t="shared" si="6"/>
        <v>938</v>
      </c>
      <c r="G12">
        <f t="shared" si="0"/>
        <v>931.971</v>
      </c>
      <c r="H12">
        <f t="shared" si="11"/>
        <v>89470.79</v>
      </c>
      <c r="I12">
        <f t="shared" ca="1" si="7"/>
        <v>74.742857142857019</v>
      </c>
    </row>
    <row r="13" spans="1:19" x14ac:dyDescent="0.25">
      <c r="A13" s="3">
        <v>940</v>
      </c>
      <c r="B13" s="4">
        <v>1069.4639999999999</v>
      </c>
      <c r="C13" s="4">
        <v>109485.14</v>
      </c>
      <c r="D13" s="4">
        <f t="shared" ca="1" si="10"/>
        <v>77.828571428571422</v>
      </c>
      <c r="F13">
        <f t="shared" si="6"/>
        <v>940</v>
      </c>
      <c r="G13">
        <f t="shared" si="0"/>
        <v>1069.4639999999999</v>
      </c>
      <c r="H13">
        <f t="shared" si="11"/>
        <v>109485.14</v>
      </c>
      <c r="I13">
        <f t="shared" ca="1" si="7"/>
        <v>77.828571428571422</v>
      </c>
      <c r="K13" s="30">
        <v>942.5</v>
      </c>
      <c r="M13" s="10">
        <f ca="1">FORECAST(K13,OFFSET(known_vol,MATCH(K13,known_elevation,1)-1,0,2),OFFSET(known_elevation,MATCH(K13,known_elevation,1)-1,0,2))</f>
        <v>138639.8200000003</v>
      </c>
    </row>
    <row r="14" spans="1:19" x14ac:dyDescent="0.25">
      <c r="A14" s="3">
        <v>941</v>
      </c>
      <c r="B14" s="4">
        <v>1142.5360000000001</v>
      </c>
      <c r="C14" s="4">
        <v>120545.14</v>
      </c>
      <c r="D14" s="4">
        <f t="shared" ca="1" si="10"/>
        <v>105.73333333333721</v>
      </c>
      <c r="F14">
        <f t="shared" si="6"/>
        <v>941</v>
      </c>
      <c r="G14">
        <f t="shared" si="0"/>
        <v>1142.5360000000001</v>
      </c>
      <c r="H14">
        <f t="shared" si="11"/>
        <v>120545.14</v>
      </c>
      <c r="I14">
        <f t="shared" ca="1" si="7"/>
        <v>105.73333333333721</v>
      </c>
    </row>
    <row r="15" spans="1:19" x14ac:dyDescent="0.25">
      <c r="A15" s="3">
        <v>942</v>
      </c>
      <c r="B15" s="4">
        <v>1218.491</v>
      </c>
      <c r="C15" s="4">
        <v>132350.26999999999</v>
      </c>
      <c r="D15" s="4">
        <f t="shared" ca="1" si="10"/>
        <v>160</v>
      </c>
      <c r="F15">
        <f t="shared" si="6"/>
        <v>942</v>
      </c>
      <c r="G15">
        <f t="shared" si="0"/>
        <v>1218.491</v>
      </c>
      <c r="H15">
        <f t="shared" si="11"/>
        <v>132350.26999999999</v>
      </c>
      <c r="I15">
        <f t="shared" ca="1" si="7"/>
        <v>160</v>
      </c>
    </row>
    <row r="16" spans="1:19" x14ac:dyDescent="0.25">
      <c r="A16" s="3">
        <v>943</v>
      </c>
      <c r="B16" s="4">
        <v>1297.328</v>
      </c>
      <c r="C16" s="4">
        <v>144929.37</v>
      </c>
      <c r="D16" s="4">
        <f t="shared" ca="1" si="10"/>
        <v>355</v>
      </c>
      <c r="F16">
        <f t="shared" si="6"/>
        <v>943</v>
      </c>
      <c r="G16">
        <f t="shared" si="0"/>
        <v>1297.328</v>
      </c>
      <c r="H16">
        <f t="shared" si="11"/>
        <v>144929.37</v>
      </c>
      <c r="I16">
        <f t="shared" ca="1" si="7"/>
        <v>355</v>
      </c>
    </row>
    <row r="17" spans="1:9" x14ac:dyDescent="0.25">
      <c r="A17" s="3">
        <v>944</v>
      </c>
      <c r="B17" s="4">
        <v>1379.05</v>
      </c>
      <c r="C17" s="4">
        <v>158311.26</v>
      </c>
      <c r="D17" s="4">
        <f t="shared" ca="1" si="10"/>
        <v>550</v>
      </c>
      <c r="F17">
        <f t="shared" si="6"/>
        <v>944</v>
      </c>
      <c r="G17">
        <f t="shared" si="0"/>
        <v>1379.05</v>
      </c>
      <c r="H17">
        <f t="shared" si="11"/>
        <v>158311.26</v>
      </c>
      <c r="I17">
        <f t="shared" ca="1" si="7"/>
        <v>550</v>
      </c>
    </row>
    <row r="18" spans="1:9" x14ac:dyDescent="0.25">
      <c r="A18" s="3">
        <v>945</v>
      </c>
      <c r="B18" s="4">
        <v>1463.654</v>
      </c>
      <c r="C18" s="4">
        <v>172524.78</v>
      </c>
      <c r="D18" s="4">
        <f t="shared" ca="1" si="10"/>
        <v>837.5</v>
      </c>
      <c r="F18">
        <f t="shared" si="6"/>
        <v>945</v>
      </c>
      <c r="G18">
        <f t="shared" si="0"/>
        <v>1463.654</v>
      </c>
      <c r="H18">
        <f t="shared" si="11"/>
        <v>172524.78</v>
      </c>
      <c r="I18">
        <f t="shared" ca="1" si="7"/>
        <v>837.5</v>
      </c>
    </row>
    <row r="19" spans="1:9" x14ac:dyDescent="0.25">
      <c r="A19" s="3">
        <v>946</v>
      </c>
      <c r="B19" s="4">
        <v>1551.1410000000001</v>
      </c>
      <c r="C19" s="4">
        <v>187598.75</v>
      </c>
      <c r="D19" s="4">
        <f t="shared" ca="1" si="10"/>
        <v>1125</v>
      </c>
      <c r="F19">
        <f t="shared" si="6"/>
        <v>946</v>
      </c>
      <c r="G19">
        <f t="shared" si="0"/>
        <v>1551.1410000000001</v>
      </c>
      <c r="H19">
        <f t="shared" si="11"/>
        <v>187598.75</v>
      </c>
      <c r="I19">
        <f t="shared" ca="1" si="7"/>
        <v>1125</v>
      </c>
    </row>
    <row r="20" spans="1:9" x14ac:dyDescent="0.25">
      <c r="A20" s="3">
        <v>947</v>
      </c>
      <c r="B20" s="4">
        <v>1641.5119999999999</v>
      </c>
      <c r="C20" s="4">
        <v>203562.02</v>
      </c>
      <c r="D20" s="4">
        <f t="shared" ca="1" si="10"/>
        <v>1500</v>
      </c>
      <c r="F20">
        <f t="shared" si="6"/>
        <v>947</v>
      </c>
      <c r="G20">
        <f t="shared" si="0"/>
        <v>1641.5119999999999</v>
      </c>
      <c r="H20">
        <f t="shared" si="11"/>
        <v>203562.02</v>
      </c>
      <c r="I20">
        <f t="shared" ca="1" si="7"/>
        <v>1500</v>
      </c>
    </row>
    <row r="21" spans="1:9" x14ac:dyDescent="0.25">
      <c r="A21" s="3">
        <v>948</v>
      </c>
      <c r="B21" s="4">
        <v>1734.7660000000001</v>
      </c>
      <c r="C21" s="4">
        <v>220443.41</v>
      </c>
      <c r="D21" s="4">
        <f t="shared" ca="1" si="10"/>
        <v>1875</v>
      </c>
      <c r="F21">
        <f t="shared" si="6"/>
        <v>948</v>
      </c>
      <c r="G21">
        <f t="shared" si="0"/>
        <v>1734.7660000000001</v>
      </c>
      <c r="H21">
        <f t="shared" si="11"/>
        <v>220443.41</v>
      </c>
      <c r="I21">
        <f t="shared" ca="1" si="7"/>
        <v>1875</v>
      </c>
    </row>
    <row r="22" spans="1:9" ht="15.75" thickBot="1" x14ac:dyDescent="0.3">
      <c r="A22" s="5">
        <v>950</v>
      </c>
      <c r="B22" s="6">
        <v>1929.923</v>
      </c>
      <c r="C22" s="6">
        <v>257090.3</v>
      </c>
      <c r="D22" s="6">
        <f>$L$10</f>
        <v>2625</v>
      </c>
      <c r="F22">
        <f>A22</f>
        <v>950</v>
      </c>
      <c r="G22">
        <f t="shared" ref="G22" si="12">B22</f>
        <v>1929.923</v>
      </c>
      <c r="H22">
        <f t="shared" si="11"/>
        <v>257090.3</v>
      </c>
      <c r="I22">
        <f t="shared" si="7"/>
        <v>2625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163BC-85B5-419F-9749-0311B8D520D3}">
  <dimension ref="A1:E19"/>
  <sheetViews>
    <sheetView workbookViewId="0">
      <selection activeCell="D1" sqref="D1:E19"/>
    </sheetView>
  </sheetViews>
  <sheetFormatPr defaultRowHeight="15" x14ac:dyDescent="0.25"/>
  <cols>
    <col min="1" max="1" width="11.5703125" bestFit="1" customWidth="1"/>
    <col min="2" max="2" width="20.7109375" bestFit="1" customWidth="1"/>
  </cols>
  <sheetData>
    <row r="1" spans="1:5" x14ac:dyDescent="0.25">
      <c r="D1" t="s">
        <v>12</v>
      </c>
    </row>
    <row r="2" spans="1:5" x14ac:dyDescent="0.25">
      <c r="A2" t="s">
        <v>10</v>
      </c>
      <c r="B2" t="s">
        <v>11</v>
      </c>
      <c r="D2" t="s">
        <v>13</v>
      </c>
      <c r="E2" t="s">
        <v>14</v>
      </c>
    </row>
    <row r="3" spans="1:5" x14ac:dyDescent="0.25">
      <c r="A3">
        <v>0</v>
      </c>
      <c r="B3">
        <v>262.86</v>
      </c>
      <c r="D3">
        <f>A3</f>
        <v>0</v>
      </c>
      <c r="E3">
        <f>B3/24</f>
        <v>10.952500000000001</v>
      </c>
    </row>
    <row r="4" spans="1:5" x14ac:dyDescent="0.25">
      <c r="A4">
        <v>0.5</v>
      </c>
      <c r="B4">
        <v>142.32</v>
      </c>
      <c r="D4">
        <f t="shared" ref="D4:D19" si="0">A4</f>
        <v>0.5</v>
      </c>
      <c r="E4">
        <f t="shared" ref="E4:E19" si="1">B4/24</f>
        <v>5.93</v>
      </c>
    </row>
    <row r="5" spans="1:5" x14ac:dyDescent="0.25">
      <c r="A5">
        <v>1</v>
      </c>
      <c r="B5">
        <v>109.28</v>
      </c>
      <c r="D5">
        <f t="shared" si="0"/>
        <v>1</v>
      </c>
      <c r="E5">
        <f t="shared" si="1"/>
        <v>4.5533333333333337</v>
      </c>
    </row>
    <row r="6" spans="1:5" x14ac:dyDescent="0.25">
      <c r="A6">
        <v>3</v>
      </c>
      <c r="B6">
        <v>71.89</v>
      </c>
      <c r="D6">
        <f t="shared" si="0"/>
        <v>3</v>
      </c>
      <c r="E6">
        <f t="shared" si="1"/>
        <v>2.9954166666666668</v>
      </c>
    </row>
    <row r="7" spans="1:5" x14ac:dyDescent="0.25">
      <c r="A7">
        <v>6</v>
      </c>
      <c r="B7">
        <v>55.19</v>
      </c>
      <c r="D7">
        <f t="shared" si="0"/>
        <v>6</v>
      </c>
      <c r="E7">
        <f t="shared" si="1"/>
        <v>2.2995833333333331</v>
      </c>
    </row>
    <row r="8" spans="1:5" x14ac:dyDescent="0.25">
      <c r="A8">
        <v>10</v>
      </c>
      <c r="B8">
        <v>45.43</v>
      </c>
      <c r="D8">
        <f t="shared" si="0"/>
        <v>10</v>
      </c>
      <c r="E8">
        <f t="shared" si="1"/>
        <v>1.8929166666666666</v>
      </c>
    </row>
    <row r="9" spans="1:5" x14ac:dyDescent="0.25">
      <c r="A9">
        <v>30</v>
      </c>
      <c r="B9">
        <v>29.88</v>
      </c>
      <c r="D9">
        <f t="shared" si="0"/>
        <v>30</v>
      </c>
      <c r="E9">
        <f t="shared" si="1"/>
        <v>1.2449999999999999</v>
      </c>
    </row>
    <row r="10" spans="1:5" x14ac:dyDescent="0.25">
      <c r="A10">
        <v>60</v>
      </c>
      <c r="B10">
        <v>22.95</v>
      </c>
      <c r="D10">
        <f t="shared" si="0"/>
        <v>60</v>
      </c>
      <c r="E10">
        <f t="shared" si="1"/>
        <v>0.95624999999999993</v>
      </c>
    </row>
    <row r="11" spans="1:5" x14ac:dyDescent="0.25">
      <c r="A11">
        <v>100</v>
      </c>
      <c r="B11">
        <v>18.89</v>
      </c>
      <c r="D11">
        <f t="shared" si="0"/>
        <v>100</v>
      </c>
      <c r="E11">
        <f t="shared" si="1"/>
        <v>0.78708333333333336</v>
      </c>
    </row>
    <row r="12" spans="1:5" x14ac:dyDescent="0.25">
      <c r="A12">
        <v>300</v>
      </c>
      <c r="B12">
        <v>15.63</v>
      </c>
      <c r="D12">
        <f t="shared" si="0"/>
        <v>300</v>
      </c>
      <c r="E12">
        <f t="shared" si="1"/>
        <v>0.65125</v>
      </c>
    </row>
    <row r="13" spans="1:5" x14ac:dyDescent="0.25">
      <c r="A13">
        <v>600</v>
      </c>
      <c r="B13">
        <v>13.42</v>
      </c>
      <c r="D13">
        <f t="shared" si="0"/>
        <v>600</v>
      </c>
      <c r="E13">
        <f t="shared" si="1"/>
        <v>0.5591666666666667</v>
      </c>
    </row>
    <row r="14" spans="1:5" x14ac:dyDescent="0.25">
      <c r="A14">
        <v>1000</v>
      </c>
      <c r="B14">
        <v>12.42</v>
      </c>
      <c r="D14">
        <f t="shared" si="0"/>
        <v>1000</v>
      </c>
      <c r="E14">
        <f t="shared" si="1"/>
        <v>0.51749999999999996</v>
      </c>
    </row>
    <row r="15" spans="1:5" x14ac:dyDescent="0.25">
      <c r="A15">
        <v>3000</v>
      </c>
      <c r="B15">
        <v>9.5399999999999991</v>
      </c>
      <c r="D15">
        <f t="shared" si="0"/>
        <v>3000</v>
      </c>
      <c r="E15">
        <f t="shared" si="1"/>
        <v>0.39749999999999996</v>
      </c>
    </row>
    <row r="16" spans="1:5" x14ac:dyDescent="0.25">
      <c r="A16">
        <v>6000</v>
      </c>
      <c r="B16">
        <v>7.85</v>
      </c>
      <c r="D16">
        <f t="shared" si="0"/>
        <v>6000</v>
      </c>
      <c r="E16">
        <f t="shared" si="1"/>
        <v>0.32708333333333334</v>
      </c>
    </row>
    <row r="17" spans="1:5" x14ac:dyDescent="0.25">
      <c r="A17">
        <v>10000</v>
      </c>
      <c r="B17">
        <v>7.27</v>
      </c>
      <c r="D17">
        <f t="shared" si="0"/>
        <v>10000</v>
      </c>
      <c r="E17">
        <f t="shared" si="1"/>
        <v>0.30291666666666667</v>
      </c>
    </row>
    <row r="18" spans="1:5" x14ac:dyDescent="0.25">
      <c r="A18">
        <v>20000</v>
      </c>
      <c r="B18">
        <v>6.54</v>
      </c>
      <c r="D18">
        <f t="shared" si="0"/>
        <v>20000</v>
      </c>
      <c r="E18">
        <f t="shared" si="1"/>
        <v>0.27250000000000002</v>
      </c>
    </row>
    <row r="19" spans="1:5" x14ac:dyDescent="0.25">
      <c r="A19">
        <v>30000</v>
      </c>
      <c r="B19">
        <v>5.9</v>
      </c>
      <c r="D19">
        <f t="shared" si="0"/>
        <v>30000</v>
      </c>
      <c r="E19">
        <f t="shared" si="1"/>
        <v>0.24583333333333335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E1D7E-17E9-4B96-A4A8-3E9FD023A91D}">
  <dimension ref="A1:AB198"/>
  <sheetViews>
    <sheetView tabSelected="1" topLeftCell="E1" workbookViewId="0">
      <selection activeCell="AA1" sqref="AA1:AA1048576"/>
    </sheetView>
  </sheetViews>
  <sheetFormatPr defaultRowHeight="15" x14ac:dyDescent="0.25"/>
  <cols>
    <col min="7" max="7" width="10.28515625" bestFit="1" customWidth="1"/>
    <col min="8" max="8" width="5" bestFit="1" customWidth="1"/>
    <col min="9" max="9" width="7" bestFit="1" customWidth="1"/>
    <col min="10" max="10" width="4.28515625" bestFit="1" customWidth="1"/>
    <col min="11" max="11" width="9.42578125" bestFit="1" customWidth="1"/>
    <col min="12" max="12" width="15.42578125" bestFit="1" customWidth="1"/>
    <col min="13" max="13" width="14.140625" bestFit="1" customWidth="1"/>
    <col min="14" max="14" width="14.140625" customWidth="1"/>
    <col min="15" max="15" width="10.28515625" bestFit="1" customWidth="1"/>
    <col min="16" max="16" width="5" bestFit="1" customWidth="1"/>
    <col min="17" max="17" width="7" bestFit="1" customWidth="1"/>
    <col min="18" max="18" width="4.28515625" bestFit="1" customWidth="1"/>
    <col min="19" max="19" width="9.42578125" bestFit="1" customWidth="1"/>
    <col min="20" max="20" width="14.140625" customWidth="1"/>
    <col min="22" max="22" width="10.28515625" bestFit="1" customWidth="1"/>
    <col min="27" max="27" width="15" bestFit="1" customWidth="1"/>
    <col min="28" max="28" width="14.140625" bestFit="1" customWidth="1"/>
  </cols>
  <sheetData>
    <row r="1" spans="1:28" x14ac:dyDescent="0.25">
      <c r="G1" s="18" t="s">
        <v>18</v>
      </c>
      <c r="H1" s="19"/>
      <c r="I1" s="19"/>
      <c r="J1" s="19"/>
      <c r="K1" s="19"/>
      <c r="L1" s="19" t="s">
        <v>19</v>
      </c>
      <c r="M1" s="19" t="s">
        <v>19</v>
      </c>
      <c r="N1" s="19"/>
      <c r="O1" s="18" t="s">
        <v>18</v>
      </c>
      <c r="P1" s="19"/>
      <c r="Q1" s="19"/>
      <c r="R1" s="19"/>
      <c r="S1" s="19"/>
      <c r="T1" s="19" t="s">
        <v>19</v>
      </c>
      <c r="V1" s="18" t="s">
        <v>18</v>
      </c>
      <c r="W1" s="18"/>
      <c r="X1" s="18"/>
      <c r="Y1" s="18"/>
      <c r="Z1" s="18"/>
      <c r="AA1" t="s">
        <v>19</v>
      </c>
      <c r="AB1" t="s">
        <v>19</v>
      </c>
    </row>
    <row r="2" spans="1:28" x14ac:dyDescent="0.25">
      <c r="G2" s="18" t="s">
        <v>20</v>
      </c>
      <c r="I2" s="19"/>
      <c r="J2" s="19"/>
      <c r="K2" s="19"/>
      <c r="L2" s="19" t="s">
        <v>39</v>
      </c>
      <c r="M2" s="19" t="s">
        <v>41</v>
      </c>
      <c r="N2" s="19"/>
      <c r="O2" s="18" t="s">
        <v>20</v>
      </c>
      <c r="Q2" s="19"/>
      <c r="R2" s="19"/>
      <c r="S2" s="19"/>
      <c r="T2" s="19" t="s">
        <v>49</v>
      </c>
      <c r="V2" s="18" t="s">
        <v>20</v>
      </c>
      <c r="W2" s="18"/>
      <c r="X2" s="18"/>
      <c r="Y2" s="18"/>
      <c r="Z2" s="18"/>
      <c r="AA2" s="19" t="s">
        <v>39</v>
      </c>
      <c r="AB2" s="19" t="s">
        <v>41</v>
      </c>
    </row>
    <row r="3" spans="1:28" x14ac:dyDescent="0.25">
      <c r="G3" s="18" t="s">
        <v>21</v>
      </c>
      <c r="H3" s="19"/>
      <c r="I3" s="19"/>
      <c r="J3" s="19"/>
      <c r="K3" s="19"/>
      <c r="L3" s="19" t="s">
        <v>40</v>
      </c>
      <c r="M3" s="19" t="s">
        <v>40</v>
      </c>
      <c r="N3" s="19"/>
      <c r="O3" s="18" t="s">
        <v>21</v>
      </c>
      <c r="P3" s="19"/>
      <c r="Q3" s="19"/>
      <c r="R3" s="19"/>
      <c r="S3" s="19"/>
      <c r="T3" s="19" t="s">
        <v>47</v>
      </c>
      <c r="V3" s="18" t="s">
        <v>21</v>
      </c>
      <c r="W3" s="18"/>
      <c r="X3" s="18"/>
      <c r="Y3" s="18"/>
      <c r="Z3" s="18"/>
      <c r="AA3" s="19" t="s">
        <v>40</v>
      </c>
      <c r="AB3" s="19" t="s">
        <v>40</v>
      </c>
    </row>
    <row r="4" spans="1:28" x14ac:dyDescent="0.25">
      <c r="G4" s="20" t="s">
        <v>22</v>
      </c>
      <c r="H4" s="19"/>
      <c r="I4" s="19"/>
      <c r="J4" s="19"/>
      <c r="K4" s="19"/>
      <c r="L4" s="19"/>
      <c r="M4" s="19"/>
      <c r="N4" s="19"/>
      <c r="O4" s="20" t="s">
        <v>22</v>
      </c>
      <c r="P4" s="19"/>
      <c r="Q4" s="19"/>
      <c r="R4" s="19"/>
      <c r="S4" s="19"/>
      <c r="T4" s="19"/>
      <c r="V4" s="20" t="s">
        <v>22</v>
      </c>
      <c r="W4" s="20"/>
      <c r="X4" s="20"/>
      <c r="Y4" s="20"/>
      <c r="Z4" s="20"/>
    </row>
    <row r="5" spans="1:28" x14ac:dyDescent="0.25">
      <c r="G5" s="18" t="s">
        <v>23</v>
      </c>
      <c r="H5" s="19"/>
      <c r="I5" s="19"/>
      <c r="J5" s="19"/>
      <c r="K5" s="19"/>
      <c r="L5" s="19" t="s">
        <v>24</v>
      </c>
      <c r="M5" s="19" t="s">
        <v>24</v>
      </c>
      <c r="N5" s="19"/>
      <c r="O5" s="18" t="s">
        <v>23</v>
      </c>
      <c r="P5" s="19"/>
      <c r="Q5" s="19"/>
      <c r="R5" s="19"/>
      <c r="S5" s="19"/>
      <c r="T5" s="19" t="s">
        <v>24</v>
      </c>
      <c r="V5" s="18" t="s">
        <v>23</v>
      </c>
      <c r="W5" s="18"/>
      <c r="X5" s="18"/>
      <c r="Y5" s="18"/>
      <c r="Z5" s="18"/>
      <c r="AA5" t="s">
        <v>24</v>
      </c>
      <c r="AB5" t="s">
        <v>24</v>
      </c>
    </row>
    <row r="6" spans="1:28" x14ac:dyDescent="0.25">
      <c r="G6" s="18" t="s">
        <v>25</v>
      </c>
      <c r="H6" s="19"/>
      <c r="I6" s="19"/>
      <c r="J6" s="19"/>
      <c r="K6" s="19"/>
      <c r="L6" s="19" t="s">
        <v>26</v>
      </c>
      <c r="M6" s="19" t="s">
        <v>26</v>
      </c>
      <c r="N6" s="19"/>
      <c r="O6" s="18" t="s">
        <v>25</v>
      </c>
      <c r="P6" s="19"/>
      <c r="Q6" s="19"/>
      <c r="R6" s="19"/>
      <c r="S6" s="19"/>
      <c r="T6" s="19" t="s">
        <v>26</v>
      </c>
      <c r="V6" s="18" t="s">
        <v>25</v>
      </c>
      <c r="W6" s="18"/>
      <c r="X6" s="18"/>
      <c r="Y6" s="18"/>
      <c r="Z6" s="18"/>
      <c r="AA6" t="s">
        <v>38</v>
      </c>
      <c r="AB6" t="s">
        <v>38</v>
      </c>
    </row>
    <row r="7" spans="1:28" x14ac:dyDescent="0.25">
      <c r="G7" s="18" t="s">
        <v>27</v>
      </c>
      <c r="H7" s="21"/>
      <c r="I7" s="21"/>
      <c r="J7" s="21"/>
      <c r="K7" s="21"/>
      <c r="L7" s="21">
        <f>$G$13</f>
        <v>41394</v>
      </c>
      <c r="M7" s="21">
        <f>$G$13</f>
        <v>41394</v>
      </c>
      <c r="N7" s="21"/>
      <c r="O7" s="18" t="s">
        <v>27</v>
      </c>
      <c r="P7" s="21"/>
      <c r="Q7" s="21"/>
      <c r="R7" s="21"/>
      <c r="S7" s="21"/>
      <c r="T7" s="21">
        <f>$O$13</f>
        <v>41364</v>
      </c>
      <c r="V7" s="18" t="s">
        <v>27</v>
      </c>
      <c r="W7" s="18"/>
      <c r="X7" s="18"/>
      <c r="Y7" s="18"/>
      <c r="Z7" s="18"/>
      <c r="AA7" s="21">
        <f>$A$14</f>
        <v>41395</v>
      </c>
      <c r="AB7" s="21">
        <f>$A$14</f>
        <v>41395</v>
      </c>
    </row>
    <row r="8" spans="1:28" x14ac:dyDescent="0.25">
      <c r="G8" s="18" t="s">
        <v>28</v>
      </c>
      <c r="H8" s="19"/>
      <c r="I8" s="19"/>
      <c r="J8" s="19"/>
      <c r="K8" s="19"/>
      <c r="L8" s="19">
        <v>2400</v>
      </c>
      <c r="M8" s="19">
        <v>2400</v>
      </c>
      <c r="N8" s="19"/>
      <c r="O8" s="18" t="s">
        <v>28</v>
      </c>
      <c r="P8" s="19"/>
      <c r="Q8" s="19"/>
      <c r="R8" s="19"/>
      <c r="S8" s="19"/>
      <c r="T8" s="19">
        <v>2400</v>
      </c>
      <c r="V8" s="18" t="s">
        <v>28</v>
      </c>
      <c r="W8" s="18"/>
      <c r="X8" s="18"/>
      <c r="Y8" s="18"/>
      <c r="Z8" s="18"/>
      <c r="AA8">
        <v>2400</v>
      </c>
      <c r="AB8">
        <v>2400</v>
      </c>
    </row>
    <row r="9" spans="1:28" x14ac:dyDescent="0.25">
      <c r="G9" s="18" t="s">
        <v>29</v>
      </c>
      <c r="H9" s="21"/>
      <c r="I9" s="21"/>
      <c r="J9" s="21"/>
      <c r="K9" s="21"/>
      <c r="L9" s="21">
        <f>$G$13</f>
        <v>41394</v>
      </c>
      <c r="M9" s="21">
        <f>$G$13</f>
        <v>41394</v>
      </c>
      <c r="N9" s="21"/>
      <c r="O9" s="18" t="s">
        <v>29</v>
      </c>
      <c r="P9" s="21"/>
      <c r="Q9" s="21"/>
      <c r="R9" s="21"/>
      <c r="S9" s="21"/>
      <c r="T9" s="21">
        <f>$O$196</f>
        <v>41547</v>
      </c>
      <c r="V9" s="18" t="s">
        <v>29</v>
      </c>
      <c r="W9" s="18"/>
      <c r="X9" s="18"/>
      <c r="Y9" s="18"/>
      <c r="Z9" s="18"/>
      <c r="AA9" s="21">
        <f>$A$119</f>
        <v>41500</v>
      </c>
      <c r="AB9" s="21">
        <f>$A$119</f>
        <v>41500</v>
      </c>
    </row>
    <row r="10" spans="1:28" x14ac:dyDescent="0.25">
      <c r="G10" s="18" t="s">
        <v>30</v>
      </c>
      <c r="H10" s="19"/>
      <c r="I10" s="19"/>
      <c r="J10" s="19"/>
      <c r="K10" s="19"/>
      <c r="L10" s="19">
        <v>2400</v>
      </c>
      <c r="M10" s="19">
        <v>2400</v>
      </c>
      <c r="N10" s="19"/>
      <c r="O10" s="18" t="s">
        <v>30</v>
      </c>
      <c r="P10" s="19"/>
      <c r="Q10" s="19"/>
      <c r="R10" s="19"/>
      <c r="S10" s="19"/>
      <c r="T10" s="19">
        <v>2400</v>
      </c>
      <c r="V10" s="18" t="s">
        <v>30</v>
      </c>
      <c r="W10" s="18"/>
      <c r="X10" s="18"/>
      <c r="Y10" s="18"/>
      <c r="Z10" s="18"/>
      <c r="AA10">
        <v>2400</v>
      </c>
      <c r="AB10">
        <v>2400</v>
      </c>
    </row>
    <row r="11" spans="1:28" x14ac:dyDescent="0.25">
      <c r="G11" s="18" t="s">
        <v>31</v>
      </c>
      <c r="H11" s="19"/>
      <c r="I11" s="19"/>
      <c r="J11" s="19"/>
      <c r="K11" s="19"/>
      <c r="L11" t="s">
        <v>42</v>
      </c>
      <c r="M11" t="s">
        <v>42</v>
      </c>
      <c r="O11" s="18" t="s">
        <v>31</v>
      </c>
      <c r="P11" s="19"/>
      <c r="Q11" s="19"/>
      <c r="R11" s="19"/>
      <c r="S11" s="19"/>
      <c r="T11" t="s">
        <v>50</v>
      </c>
      <c r="V11" s="18" t="s">
        <v>31</v>
      </c>
      <c r="W11" s="18"/>
      <c r="X11" s="18"/>
      <c r="Y11" s="18"/>
      <c r="Z11" s="18"/>
      <c r="AA11" t="s">
        <v>42</v>
      </c>
      <c r="AB11" t="s">
        <v>42</v>
      </c>
    </row>
    <row r="12" spans="1:28" x14ac:dyDescent="0.25">
      <c r="A12" s="16" t="s">
        <v>15</v>
      </c>
      <c r="B12" s="16" t="s">
        <v>16</v>
      </c>
      <c r="C12" s="16" t="s">
        <v>17</v>
      </c>
      <c r="G12" s="18" t="s">
        <v>32</v>
      </c>
      <c r="H12" s="18" t="s">
        <v>33</v>
      </c>
      <c r="I12" s="18" t="s">
        <v>34</v>
      </c>
      <c r="J12" s="18" t="s">
        <v>35</v>
      </c>
      <c r="K12" s="18" t="s">
        <v>36</v>
      </c>
      <c r="L12" s="22" t="s">
        <v>37</v>
      </c>
      <c r="M12" s="22" t="s">
        <v>37</v>
      </c>
      <c r="N12" s="22"/>
      <c r="O12" s="18" t="s">
        <v>32</v>
      </c>
      <c r="P12" s="18" t="s">
        <v>33</v>
      </c>
      <c r="Q12" s="18" t="s">
        <v>34</v>
      </c>
      <c r="R12" s="18" t="s">
        <v>35</v>
      </c>
      <c r="S12" s="18" t="s">
        <v>36</v>
      </c>
      <c r="T12" s="22" t="s">
        <v>48</v>
      </c>
      <c r="V12" s="18" t="s">
        <v>32</v>
      </c>
      <c r="W12" s="18" t="s">
        <v>33</v>
      </c>
      <c r="X12" s="18" t="s">
        <v>34</v>
      </c>
      <c r="Y12" s="18" t="s">
        <v>35</v>
      </c>
      <c r="Z12" s="18" t="s">
        <v>36</v>
      </c>
      <c r="AA12" t="s">
        <v>37</v>
      </c>
      <c r="AB12" t="s">
        <v>37</v>
      </c>
    </row>
    <row r="13" spans="1:28" x14ac:dyDescent="0.25">
      <c r="A13" s="17">
        <v>41394</v>
      </c>
      <c r="B13" s="16">
        <v>32.164999999999999</v>
      </c>
      <c r="C13" s="16">
        <v>10.1</v>
      </c>
      <c r="G13" s="17">
        <v>41394</v>
      </c>
      <c r="H13">
        <f>IF(MONTH($G13)&gt;=10, YEAR($G13)+1, YEAR($G13))</f>
        <v>2013</v>
      </c>
      <c r="I13">
        <f>MONTH(G13)</f>
        <v>4</v>
      </c>
      <c r="J13">
        <f>DAY(G13)</f>
        <v>30</v>
      </c>
      <c r="K13" t="str">
        <f>H13&amp;"-"&amp;I13&amp;"-"&amp;J13</f>
        <v>2013-4-30</v>
      </c>
      <c r="L13" s="23">
        <f>B13</f>
        <v>32.164999999999999</v>
      </c>
      <c r="M13" s="23">
        <f>C13</f>
        <v>10.1</v>
      </c>
      <c r="N13" s="23"/>
      <c r="O13" s="17">
        <v>41364</v>
      </c>
      <c r="P13">
        <f>IF(MONTH($O13)&gt;=10, YEAR($O13)+1, YEAR($O13))</f>
        <v>2013</v>
      </c>
      <c r="Q13">
        <f>MONTH(O13)</f>
        <v>3</v>
      </c>
      <c r="R13">
        <f>DAY(O13)</f>
        <v>31</v>
      </c>
      <c r="S13" t="str">
        <f>P13&amp;"-"&amp;Q13&amp;"-"&amp;R13</f>
        <v>2013-3-31</v>
      </c>
      <c r="T13" s="23">
        <v>138639.8200000003</v>
      </c>
      <c r="V13" s="21">
        <f>A14</f>
        <v>41395</v>
      </c>
      <c r="W13">
        <f>IF(MONTH($V13)&gt;=10, YEAR($V13)+1, YEAR($V13))</f>
        <v>2013</v>
      </c>
      <c r="X13">
        <f t="shared" ref="X13" si="0">MONTH(V13)</f>
        <v>5</v>
      </c>
      <c r="Y13">
        <f>DAY(V13)</f>
        <v>1</v>
      </c>
      <c r="Z13" t="str">
        <f>W13&amp;"-"&amp;X13&amp;"-"&amp;Y13</f>
        <v>2013-5-1</v>
      </c>
      <c r="AA13">
        <f>B14</f>
        <v>24.4</v>
      </c>
      <c r="AB13">
        <f>C14</f>
        <v>7.7</v>
      </c>
    </row>
    <row r="14" spans="1:28" x14ac:dyDescent="0.25">
      <c r="A14" s="17">
        <v>41395</v>
      </c>
      <c r="B14" s="16">
        <v>24.4</v>
      </c>
      <c r="C14" s="16">
        <v>7.7</v>
      </c>
      <c r="G14" s="17"/>
      <c r="O14" s="17">
        <v>41365</v>
      </c>
      <c r="P14">
        <f t="shared" ref="P14:P77" si="1">IF(MONTH($O14)&gt;=10, YEAR($O14)+1, YEAR($O14))</f>
        <v>2013</v>
      </c>
      <c r="Q14">
        <f t="shared" ref="Q14:Q77" si="2">MONTH(O14)</f>
        <v>4</v>
      </c>
      <c r="R14">
        <f t="shared" ref="R14:R77" si="3">DAY(O14)</f>
        <v>1</v>
      </c>
      <c r="S14" t="str">
        <f t="shared" ref="S14:S77" si="4">P14&amp;"-"&amp;Q14&amp;"-"&amp;R14</f>
        <v>2013-4-1</v>
      </c>
      <c r="T14" s="23">
        <v>138639.8200000003</v>
      </c>
      <c r="V14" s="21">
        <f t="shared" ref="V14:V77" si="5">A15</f>
        <v>41396</v>
      </c>
      <c r="W14">
        <f t="shared" ref="W14:W77" si="6">IF(MONTH($V14)&gt;=10, YEAR($V14)+1, YEAR($V14))</f>
        <v>2013</v>
      </c>
      <c r="X14">
        <f t="shared" ref="X14:X77" si="7">MONTH(V14)</f>
        <v>5</v>
      </c>
      <c r="Y14">
        <f t="shared" ref="Y14:Y77" si="8">DAY(V14)</f>
        <v>2</v>
      </c>
      <c r="Z14" t="str">
        <f t="shared" ref="Z14:Z77" si="9">W14&amp;"-"&amp;X14&amp;"-"&amp;Y14</f>
        <v>2013-5-2</v>
      </c>
      <c r="AA14">
        <f t="shared" ref="AA14:AA77" si="10">B15</f>
        <v>92.650999999999996</v>
      </c>
      <c r="AB14">
        <f t="shared" ref="AB14:AB77" si="11">C15</f>
        <v>6.31</v>
      </c>
    </row>
    <row r="15" spans="1:28" x14ac:dyDescent="0.25">
      <c r="A15" s="17">
        <v>41396</v>
      </c>
      <c r="B15" s="16">
        <v>92.650999999999996</v>
      </c>
      <c r="C15" s="16">
        <v>6.31</v>
      </c>
      <c r="G15" s="17"/>
      <c r="O15" s="17">
        <v>41366</v>
      </c>
      <c r="P15">
        <f t="shared" si="1"/>
        <v>2013</v>
      </c>
      <c r="Q15">
        <f t="shared" si="2"/>
        <v>4</v>
      </c>
      <c r="R15">
        <f t="shared" si="3"/>
        <v>2</v>
      </c>
      <c r="S15" t="str">
        <f t="shared" si="4"/>
        <v>2013-4-2</v>
      </c>
      <c r="T15" s="23">
        <v>138639.8200000003</v>
      </c>
      <c r="V15" s="21">
        <f t="shared" si="5"/>
        <v>41397</v>
      </c>
      <c r="W15">
        <f t="shared" si="6"/>
        <v>2013</v>
      </c>
      <c r="X15">
        <f t="shared" si="7"/>
        <v>5</v>
      </c>
      <c r="Y15">
        <f t="shared" si="8"/>
        <v>3</v>
      </c>
      <c r="Z15" t="str">
        <f t="shared" si="9"/>
        <v>2013-5-3</v>
      </c>
      <c r="AA15">
        <f t="shared" si="10"/>
        <v>83.311999999999998</v>
      </c>
      <c r="AB15">
        <f t="shared" si="11"/>
        <v>6.31</v>
      </c>
    </row>
    <row r="16" spans="1:28" x14ac:dyDescent="0.25">
      <c r="A16" s="17">
        <v>41397</v>
      </c>
      <c r="B16" s="16">
        <v>83.311999999999998</v>
      </c>
      <c r="C16" s="16">
        <v>6.31</v>
      </c>
      <c r="G16" s="17"/>
      <c r="O16" s="17">
        <v>41367</v>
      </c>
      <c r="P16">
        <f t="shared" si="1"/>
        <v>2013</v>
      </c>
      <c r="Q16">
        <f t="shared" si="2"/>
        <v>4</v>
      </c>
      <c r="R16">
        <f t="shared" si="3"/>
        <v>3</v>
      </c>
      <c r="S16" t="str">
        <f t="shared" si="4"/>
        <v>2013-4-3</v>
      </c>
      <c r="T16" s="23">
        <v>138639.8200000003</v>
      </c>
      <c r="V16" s="21">
        <f t="shared" si="5"/>
        <v>41398</v>
      </c>
      <c r="W16">
        <f t="shared" si="6"/>
        <v>2013</v>
      </c>
      <c r="X16">
        <f t="shared" si="7"/>
        <v>5</v>
      </c>
      <c r="Y16">
        <f t="shared" si="8"/>
        <v>4</v>
      </c>
      <c r="Z16" t="str">
        <f t="shared" si="9"/>
        <v>2013-5-4</v>
      </c>
      <c r="AA16">
        <f t="shared" si="10"/>
        <v>53.695999999999998</v>
      </c>
      <c r="AB16">
        <f t="shared" si="11"/>
        <v>6.46</v>
      </c>
    </row>
    <row r="17" spans="1:28" x14ac:dyDescent="0.25">
      <c r="A17" s="17">
        <v>41398</v>
      </c>
      <c r="B17" s="16">
        <v>53.695999999999998</v>
      </c>
      <c r="C17" s="16">
        <v>6.46</v>
      </c>
      <c r="G17" s="17"/>
      <c r="O17" s="17">
        <v>41368</v>
      </c>
      <c r="P17">
        <f t="shared" si="1"/>
        <v>2013</v>
      </c>
      <c r="Q17">
        <f t="shared" si="2"/>
        <v>4</v>
      </c>
      <c r="R17">
        <f t="shared" si="3"/>
        <v>4</v>
      </c>
      <c r="S17" t="str">
        <f t="shared" si="4"/>
        <v>2013-4-4</v>
      </c>
      <c r="T17" s="23">
        <v>138639.8200000003</v>
      </c>
      <c r="V17" s="21">
        <f t="shared" si="5"/>
        <v>41399</v>
      </c>
      <c r="W17">
        <f t="shared" si="6"/>
        <v>2013</v>
      </c>
      <c r="X17">
        <f t="shared" si="7"/>
        <v>5</v>
      </c>
      <c r="Y17">
        <f t="shared" si="8"/>
        <v>5</v>
      </c>
      <c r="Z17" t="str">
        <f t="shared" si="9"/>
        <v>2013-5-5</v>
      </c>
      <c r="AA17">
        <f t="shared" si="10"/>
        <v>26.155000000000001</v>
      </c>
      <c r="AB17">
        <f t="shared" si="11"/>
        <v>6.58</v>
      </c>
    </row>
    <row r="18" spans="1:28" x14ac:dyDescent="0.25">
      <c r="A18" s="17">
        <v>41399</v>
      </c>
      <c r="B18" s="16">
        <v>26.155000000000001</v>
      </c>
      <c r="C18" s="16">
        <v>6.58</v>
      </c>
      <c r="G18" s="17"/>
      <c r="O18" s="17">
        <v>41369</v>
      </c>
      <c r="P18">
        <f t="shared" si="1"/>
        <v>2013</v>
      </c>
      <c r="Q18">
        <f t="shared" si="2"/>
        <v>4</v>
      </c>
      <c r="R18">
        <f t="shared" si="3"/>
        <v>5</v>
      </c>
      <c r="S18" t="str">
        <f t="shared" si="4"/>
        <v>2013-4-5</v>
      </c>
      <c r="T18" s="23">
        <v>138639.8200000003</v>
      </c>
      <c r="V18" s="21">
        <f t="shared" si="5"/>
        <v>41400</v>
      </c>
      <c r="W18">
        <f t="shared" si="6"/>
        <v>2013</v>
      </c>
      <c r="X18">
        <f t="shared" si="7"/>
        <v>5</v>
      </c>
      <c r="Y18">
        <f t="shared" si="8"/>
        <v>6</v>
      </c>
      <c r="Z18" t="str">
        <f t="shared" si="9"/>
        <v>2013-5-6</v>
      </c>
      <c r="AA18">
        <f t="shared" si="10"/>
        <v>28.744</v>
      </c>
      <c r="AB18">
        <f t="shared" si="11"/>
        <v>6.31</v>
      </c>
    </row>
    <row r="19" spans="1:28" x14ac:dyDescent="0.25">
      <c r="A19" s="17">
        <v>41400</v>
      </c>
      <c r="B19" s="16">
        <v>28.744</v>
      </c>
      <c r="C19" s="16">
        <v>6.31</v>
      </c>
      <c r="G19" s="17"/>
      <c r="O19" s="17">
        <v>41370</v>
      </c>
      <c r="P19">
        <f t="shared" si="1"/>
        <v>2013</v>
      </c>
      <c r="Q19">
        <f t="shared" si="2"/>
        <v>4</v>
      </c>
      <c r="R19">
        <f t="shared" si="3"/>
        <v>6</v>
      </c>
      <c r="S19" t="str">
        <f t="shared" si="4"/>
        <v>2013-4-6</v>
      </c>
      <c r="T19" s="23">
        <v>138639.82</v>
      </c>
      <c r="V19" s="21">
        <f t="shared" si="5"/>
        <v>41401</v>
      </c>
      <c r="W19">
        <f t="shared" si="6"/>
        <v>2013</v>
      </c>
      <c r="X19">
        <f t="shared" si="7"/>
        <v>5</v>
      </c>
      <c r="Y19">
        <f t="shared" si="8"/>
        <v>7</v>
      </c>
      <c r="Z19" t="str">
        <f t="shared" si="9"/>
        <v>2013-5-7</v>
      </c>
      <c r="AA19">
        <f t="shared" si="10"/>
        <v>29.390999999999998</v>
      </c>
      <c r="AB19">
        <f t="shared" si="11"/>
        <v>5.97</v>
      </c>
    </row>
    <row r="20" spans="1:28" x14ac:dyDescent="0.25">
      <c r="A20" s="17">
        <v>41401</v>
      </c>
      <c r="B20" s="16">
        <v>29.390999999999998</v>
      </c>
      <c r="C20" s="16">
        <v>5.97</v>
      </c>
      <c r="G20" s="17"/>
      <c r="O20" s="17">
        <v>41371</v>
      </c>
      <c r="P20">
        <f t="shared" si="1"/>
        <v>2013</v>
      </c>
      <c r="Q20">
        <f t="shared" si="2"/>
        <v>4</v>
      </c>
      <c r="R20">
        <f t="shared" si="3"/>
        <v>7</v>
      </c>
      <c r="S20" t="str">
        <f t="shared" si="4"/>
        <v>2013-4-7</v>
      </c>
      <c r="T20" s="23">
        <v>138639.82</v>
      </c>
      <c r="V20" s="21">
        <f t="shared" si="5"/>
        <v>41402</v>
      </c>
      <c r="W20">
        <f t="shared" si="6"/>
        <v>2013</v>
      </c>
      <c r="X20">
        <f t="shared" si="7"/>
        <v>5</v>
      </c>
      <c r="Y20">
        <f t="shared" si="8"/>
        <v>8</v>
      </c>
      <c r="Z20" t="str">
        <f t="shared" si="9"/>
        <v>2013-5-8</v>
      </c>
      <c r="AA20">
        <f t="shared" si="10"/>
        <v>41.459000000000003</v>
      </c>
      <c r="AB20">
        <f t="shared" si="11"/>
        <v>5.81</v>
      </c>
    </row>
    <row r="21" spans="1:28" x14ac:dyDescent="0.25">
      <c r="A21" s="17">
        <v>41402</v>
      </c>
      <c r="B21" s="16">
        <v>41.459000000000003</v>
      </c>
      <c r="C21" s="16">
        <v>5.81</v>
      </c>
      <c r="G21" s="17"/>
      <c r="O21" s="17">
        <v>41372</v>
      </c>
      <c r="P21">
        <f t="shared" si="1"/>
        <v>2013</v>
      </c>
      <c r="Q21">
        <f t="shared" si="2"/>
        <v>4</v>
      </c>
      <c r="R21">
        <f t="shared" si="3"/>
        <v>8</v>
      </c>
      <c r="S21" t="str">
        <f t="shared" si="4"/>
        <v>2013-4-8</v>
      </c>
      <c r="T21" s="23">
        <v>138639.82</v>
      </c>
      <c r="V21" s="21">
        <f t="shared" si="5"/>
        <v>41403</v>
      </c>
      <c r="W21">
        <f t="shared" si="6"/>
        <v>2013</v>
      </c>
      <c r="X21">
        <f t="shared" si="7"/>
        <v>5</v>
      </c>
      <c r="Y21">
        <f t="shared" si="8"/>
        <v>9</v>
      </c>
      <c r="Z21" t="str">
        <f t="shared" si="9"/>
        <v>2013-5-9</v>
      </c>
      <c r="AA21">
        <f t="shared" si="10"/>
        <v>36.746000000000002</v>
      </c>
      <c r="AB21">
        <f t="shared" si="11"/>
        <v>5.42</v>
      </c>
    </row>
    <row r="22" spans="1:28" x14ac:dyDescent="0.25">
      <c r="A22" s="17">
        <v>41403</v>
      </c>
      <c r="B22" s="16">
        <v>36.746000000000002</v>
      </c>
      <c r="C22" s="16">
        <v>5.42</v>
      </c>
      <c r="G22" s="17"/>
      <c r="O22" s="17">
        <v>41373</v>
      </c>
      <c r="P22">
        <f t="shared" si="1"/>
        <v>2013</v>
      </c>
      <c r="Q22">
        <f t="shared" si="2"/>
        <v>4</v>
      </c>
      <c r="R22">
        <f t="shared" si="3"/>
        <v>9</v>
      </c>
      <c r="S22" t="str">
        <f t="shared" si="4"/>
        <v>2013-4-9</v>
      </c>
      <c r="T22" s="23">
        <v>138639.82</v>
      </c>
      <c r="V22" s="21">
        <f t="shared" si="5"/>
        <v>41404</v>
      </c>
      <c r="W22">
        <f t="shared" si="6"/>
        <v>2013</v>
      </c>
      <c r="X22">
        <f t="shared" si="7"/>
        <v>5</v>
      </c>
      <c r="Y22">
        <f t="shared" si="8"/>
        <v>10</v>
      </c>
      <c r="Z22" t="str">
        <f t="shared" si="9"/>
        <v>2013-5-10</v>
      </c>
      <c r="AA22">
        <f t="shared" si="10"/>
        <v>34.856999999999999</v>
      </c>
      <c r="AB22">
        <f t="shared" si="11"/>
        <v>4.8899999999999997</v>
      </c>
    </row>
    <row r="23" spans="1:28" x14ac:dyDescent="0.25">
      <c r="A23" s="17">
        <v>41404</v>
      </c>
      <c r="B23" s="16">
        <v>34.856999999999999</v>
      </c>
      <c r="C23" s="16">
        <v>4.8899999999999997</v>
      </c>
      <c r="G23" s="17"/>
      <c r="O23" s="17">
        <v>41374</v>
      </c>
      <c r="P23">
        <f t="shared" si="1"/>
        <v>2013</v>
      </c>
      <c r="Q23">
        <f t="shared" si="2"/>
        <v>4</v>
      </c>
      <c r="R23">
        <f t="shared" si="3"/>
        <v>10</v>
      </c>
      <c r="S23" t="str">
        <f t="shared" si="4"/>
        <v>2013-4-10</v>
      </c>
      <c r="T23" s="23">
        <v>138639.82</v>
      </c>
      <c r="V23" s="21">
        <f t="shared" si="5"/>
        <v>41405</v>
      </c>
      <c r="W23">
        <f t="shared" si="6"/>
        <v>2013</v>
      </c>
      <c r="X23">
        <f t="shared" si="7"/>
        <v>5</v>
      </c>
      <c r="Y23">
        <f t="shared" si="8"/>
        <v>11</v>
      </c>
      <c r="Z23" t="str">
        <f t="shared" si="9"/>
        <v>2013-5-11</v>
      </c>
      <c r="AA23">
        <f t="shared" si="10"/>
        <v>40.973999999999997</v>
      </c>
      <c r="AB23">
        <f t="shared" si="11"/>
        <v>4.53</v>
      </c>
    </row>
    <row r="24" spans="1:28" x14ac:dyDescent="0.25">
      <c r="A24" s="17">
        <v>41405</v>
      </c>
      <c r="B24" s="16">
        <v>40.973999999999997</v>
      </c>
      <c r="C24" s="16">
        <v>4.53</v>
      </c>
      <c r="G24" s="17"/>
      <c r="O24" s="17">
        <v>41375</v>
      </c>
      <c r="P24">
        <f t="shared" si="1"/>
        <v>2013</v>
      </c>
      <c r="Q24">
        <f t="shared" si="2"/>
        <v>4</v>
      </c>
      <c r="R24">
        <f t="shared" si="3"/>
        <v>11</v>
      </c>
      <c r="S24" t="str">
        <f t="shared" si="4"/>
        <v>2013-4-11</v>
      </c>
      <c r="T24" s="23">
        <v>138639.82</v>
      </c>
      <c r="V24" s="21">
        <f t="shared" si="5"/>
        <v>41406</v>
      </c>
      <c r="W24">
        <f t="shared" si="6"/>
        <v>2013</v>
      </c>
      <c r="X24">
        <f t="shared" si="7"/>
        <v>5</v>
      </c>
      <c r="Y24">
        <f t="shared" si="8"/>
        <v>12</v>
      </c>
      <c r="Z24" t="str">
        <f t="shared" si="9"/>
        <v>2013-5-12</v>
      </c>
      <c r="AA24">
        <f t="shared" si="10"/>
        <v>38.904000000000003</v>
      </c>
      <c r="AB24">
        <f t="shared" si="11"/>
        <v>4.25</v>
      </c>
    </row>
    <row r="25" spans="1:28" x14ac:dyDescent="0.25">
      <c r="A25" s="17">
        <v>41406</v>
      </c>
      <c r="B25" s="16">
        <v>38.904000000000003</v>
      </c>
      <c r="C25" s="16">
        <v>4.25</v>
      </c>
      <c r="G25" s="17"/>
      <c r="O25" s="17">
        <v>41376</v>
      </c>
      <c r="P25">
        <f t="shared" si="1"/>
        <v>2013</v>
      </c>
      <c r="Q25">
        <f t="shared" si="2"/>
        <v>4</v>
      </c>
      <c r="R25">
        <f t="shared" si="3"/>
        <v>12</v>
      </c>
      <c r="S25" t="str">
        <f t="shared" si="4"/>
        <v>2013-4-12</v>
      </c>
      <c r="T25" s="23">
        <v>138639.82</v>
      </c>
      <c r="V25" s="21">
        <f t="shared" si="5"/>
        <v>41407</v>
      </c>
      <c r="W25">
        <f t="shared" si="6"/>
        <v>2013</v>
      </c>
      <c r="X25">
        <f t="shared" si="7"/>
        <v>5</v>
      </c>
      <c r="Y25">
        <f t="shared" si="8"/>
        <v>13</v>
      </c>
      <c r="Z25" t="str">
        <f t="shared" si="9"/>
        <v>2013-5-13</v>
      </c>
      <c r="AA25">
        <f t="shared" si="10"/>
        <v>39.502000000000002</v>
      </c>
      <c r="AB25">
        <f t="shared" si="11"/>
        <v>3.97</v>
      </c>
    </row>
    <row r="26" spans="1:28" x14ac:dyDescent="0.25">
      <c r="A26" s="17">
        <v>41407</v>
      </c>
      <c r="B26" s="16">
        <v>39.502000000000002</v>
      </c>
      <c r="C26" s="16">
        <v>3.97</v>
      </c>
      <c r="G26" s="17"/>
      <c r="O26" s="17">
        <v>41377</v>
      </c>
      <c r="P26">
        <f t="shared" si="1"/>
        <v>2013</v>
      </c>
      <c r="Q26">
        <f t="shared" si="2"/>
        <v>4</v>
      </c>
      <c r="R26">
        <f t="shared" si="3"/>
        <v>13</v>
      </c>
      <c r="S26" t="str">
        <f t="shared" si="4"/>
        <v>2013-4-13</v>
      </c>
      <c r="T26" s="23">
        <v>138639.82</v>
      </c>
      <c r="V26" s="21">
        <f t="shared" si="5"/>
        <v>41408</v>
      </c>
      <c r="W26">
        <f t="shared" si="6"/>
        <v>2013</v>
      </c>
      <c r="X26">
        <f t="shared" si="7"/>
        <v>5</v>
      </c>
      <c r="Y26">
        <f t="shared" si="8"/>
        <v>14</v>
      </c>
      <c r="Z26" t="str">
        <f t="shared" si="9"/>
        <v>2013-5-14</v>
      </c>
      <c r="AA26">
        <f t="shared" si="10"/>
        <v>59.811</v>
      </c>
      <c r="AB26">
        <f t="shared" si="11"/>
        <v>3.81</v>
      </c>
    </row>
    <row r="27" spans="1:28" x14ac:dyDescent="0.25">
      <c r="A27" s="17">
        <v>41408</v>
      </c>
      <c r="B27" s="16">
        <v>59.811</v>
      </c>
      <c r="C27" s="16">
        <v>3.81</v>
      </c>
      <c r="G27" s="17"/>
      <c r="O27" s="17">
        <v>41378</v>
      </c>
      <c r="P27">
        <f t="shared" si="1"/>
        <v>2013</v>
      </c>
      <c r="Q27">
        <f t="shared" si="2"/>
        <v>4</v>
      </c>
      <c r="R27">
        <f t="shared" si="3"/>
        <v>14</v>
      </c>
      <c r="S27" t="str">
        <f t="shared" si="4"/>
        <v>2013-4-14</v>
      </c>
      <c r="T27" s="23">
        <v>138639.82</v>
      </c>
      <c r="V27" s="21">
        <f t="shared" si="5"/>
        <v>41409</v>
      </c>
      <c r="W27">
        <f t="shared" si="6"/>
        <v>2013</v>
      </c>
      <c r="X27">
        <f t="shared" si="7"/>
        <v>5</v>
      </c>
      <c r="Y27">
        <f t="shared" si="8"/>
        <v>15</v>
      </c>
      <c r="Z27" t="str">
        <f t="shared" si="9"/>
        <v>2013-5-15</v>
      </c>
      <c r="AA27">
        <f t="shared" si="10"/>
        <v>51.43</v>
      </c>
      <c r="AB27">
        <f t="shared" si="11"/>
        <v>3.67</v>
      </c>
    </row>
    <row r="28" spans="1:28" x14ac:dyDescent="0.25">
      <c r="A28" s="17">
        <v>41409</v>
      </c>
      <c r="B28" s="16">
        <v>51.43</v>
      </c>
      <c r="C28" s="16">
        <v>3.67</v>
      </c>
      <c r="G28" s="17"/>
      <c r="O28" s="17">
        <v>41379</v>
      </c>
      <c r="P28">
        <f t="shared" si="1"/>
        <v>2013</v>
      </c>
      <c r="Q28">
        <f t="shared" si="2"/>
        <v>4</v>
      </c>
      <c r="R28">
        <f t="shared" si="3"/>
        <v>15</v>
      </c>
      <c r="S28" t="str">
        <f t="shared" si="4"/>
        <v>2013-4-15</v>
      </c>
      <c r="T28" s="23">
        <v>138639.82</v>
      </c>
      <c r="V28" s="21">
        <f t="shared" si="5"/>
        <v>41410</v>
      </c>
      <c r="W28">
        <f t="shared" si="6"/>
        <v>2013</v>
      </c>
      <c r="X28">
        <f t="shared" si="7"/>
        <v>5</v>
      </c>
      <c r="Y28">
        <f t="shared" si="8"/>
        <v>16</v>
      </c>
      <c r="Z28" t="str">
        <f t="shared" si="9"/>
        <v>2013-5-16</v>
      </c>
      <c r="AA28">
        <f t="shared" si="10"/>
        <v>44.198</v>
      </c>
      <c r="AB28">
        <f t="shared" si="11"/>
        <v>3.61</v>
      </c>
    </row>
    <row r="29" spans="1:28" x14ac:dyDescent="0.25">
      <c r="A29" s="17">
        <v>41410</v>
      </c>
      <c r="B29" s="16">
        <v>44.198</v>
      </c>
      <c r="C29" s="16">
        <v>3.61</v>
      </c>
      <c r="G29" s="17"/>
      <c r="O29" s="17">
        <v>41380</v>
      </c>
      <c r="P29">
        <f t="shared" si="1"/>
        <v>2013</v>
      </c>
      <c r="Q29">
        <f t="shared" si="2"/>
        <v>4</v>
      </c>
      <c r="R29">
        <f t="shared" si="3"/>
        <v>16</v>
      </c>
      <c r="S29" t="str">
        <f t="shared" si="4"/>
        <v>2013-4-16</v>
      </c>
      <c r="T29" s="23">
        <v>138639.82</v>
      </c>
      <c r="V29" s="21">
        <f t="shared" si="5"/>
        <v>41411</v>
      </c>
      <c r="W29">
        <f t="shared" si="6"/>
        <v>2013</v>
      </c>
      <c r="X29">
        <f t="shared" si="7"/>
        <v>5</v>
      </c>
      <c r="Y29">
        <f t="shared" si="8"/>
        <v>17</v>
      </c>
      <c r="Z29" t="str">
        <f t="shared" si="9"/>
        <v>2013-5-17</v>
      </c>
      <c r="AA29">
        <f t="shared" si="10"/>
        <v>39.755000000000003</v>
      </c>
      <c r="AB29">
        <f t="shared" si="11"/>
        <v>3.73</v>
      </c>
    </row>
    <row r="30" spans="1:28" x14ac:dyDescent="0.25">
      <c r="A30" s="17">
        <v>41411</v>
      </c>
      <c r="B30" s="16">
        <v>39.755000000000003</v>
      </c>
      <c r="C30" s="16">
        <v>3.73</v>
      </c>
      <c r="G30" s="17"/>
      <c r="O30" s="17">
        <v>41381</v>
      </c>
      <c r="P30">
        <f t="shared" si="1"/>
        <v>2013</v>
      </c>
      <c r="Q30">
        <f t="shared" si="2"/>
        <v>4</v>
      </c>
      <c r="R30">
        <f t="shared" si="3"/>
        <v>17</v>
      </c>
      <c r="S30" t="str">
        <f t="shared" si="4"/>
        <v>2013-4-17</v>
      </c>
      <c r="T30" s="23">
        <v>138639.82</v>
      </c>
      <c r="V30" s="21">
        <f t="shared" si="5"/>
        <v>41412</v>
      </c>
      <c r="W30">
        <f t="shared" si="6"/>
        <v>2013</v>
      </c>
      <c r="X30">
        <f t="shared" si="7"/>
        <v>5</v>
      </c>
      <c r="Y30">
        <f t="shared" si="8"/>
        <v>18</v>
      </c>
      <c r="Z30" t="str">
        <f t="shared" si="9"/>
        <v>2013-5-18</v>
      </c>
      <c r="AA30">
        <f t="shared" si="10"/>
        <v>34.421999999999997</v>
      </c>
      <c r="AB30">
        <f t="shared" si="11"/>
        <v>3.75</v>
      </c>
    </row>
    <row r="31" spans="1:28" x14ac:dyDescent="0.25">
      <c r="A31" s="17">
        <v>41412</v>
      </c>
      <c r="B31" s="16">
        <v>34.421999999999997</v>
      </c>
      <c r="C31" s="16">
        <v>3.75</v>
      </c>
      <c r="G31" s="17"/>
      <c r="O31" s="17">
        <v>41382</v>
      </c>
      <c r="P31">
        <f t="shared" si="1"/>
        <v>2013</v>
      </c>
      <c r="Q31">
        <f t="shared" si="2"/>
        <v>4</v>
      </c>
      <c r="R31">
        <f t="shared" si="3"/>
        <v>18</v>
      </c>
      <c r="S31" t="str">
        <f t="shared" si="4"/>
        <v>2013-4-18</v>
      </c>
      <c r="T31" s="23">
        <v>138639.82</v>
      </c>
      <c r="V31" s="21">
        <f t="shared" si="5"/>
        <v>41413</v>
      </c>
      <c r="W31">
        <f t="shared" si="6"/>
        <v>2013</v>
      </c>
      <c r="X31">
        <f t="shared" si="7"/>
        <v>5</v>
      </c>
      <c r="Y31">
        <f t="shared" si="8"/>
        <v>19</v>
      </c>
      <c r="Z31" t="str">
        <f t="shared" si="9"/>
        <v>2013-5-19</v>
      </c>
      <c r="AA31">
        <f t="shared" si="10"/>
        <v>31.902000000000001</v>
      </c>
      <c r="AB31">
        <f t="shared" si="11"/>
        <v>3.68</v>
      </c>
    </row>
    <row r="32" spans="1:28" x14ac:dyDescent="0.25">
      <c r="A32" s="17">
        <v>41413</v>
      </c>
      <c r="B32" s="16">
        <v>31.902000000000001</v>
      </c>
      <c r="C32" s="16">
        <v>3.68</v>
      </c>
      <c r="G32" s="17"/>
      <c r="O32" s="17">
        <v>41383</v>
      </c>
      <c r="P32">
        <f t="shared" si="1"/>
        <v>2013</v>
      </c>
      <c r="Q32">
        <f t="shared" si="2"/>
        <v>4</v>
      </c>
      <c r="R32">
        <f t="shared" si="3"/>
        <v>19</v>
      </c>
      <c r="S32" t="str">
        <f t="shared" si="4"/>
        <v>2013-4-19</v>
      </c>
      <c r="T32" s="23">
        <v>138639.82</v>
      </c>
      <c r="V32" s="21">
        <f t="shared" si="5"/>
        <v>41414</v>
      </c>
      <c r="W32">
        <f t="shared" si="6"/>
        <v>2013</v>
      </c>
      <c r="X32">
        <f t="shared" si="7"/>
        <v>5</v>
      </c>
      <c r="Y32">
        <f t="shared" si="8"/>
        <v>20</v>
      </c>
      <c r="Z32" t="str">
        <f t="shared" si="9"/>
        <v>2013-5-20</v>
      </c>
      <c r="AA32">
        <f t="shared" si="10"/>
        <v>29.207999999999998</v>
      </c>
      <c r="AB32">
        <f t="shared" si="11"/>
        <v>3.67</v>
      </c>
    </row>
    <row r="33" spans="1:28" x14ac:dyDescent="0.25">
      <c r="A33" s="17">
        <v>41414</v>
      </c>
      <c r="B33" s="16">
        <v>29.207999999999998</v>
      </c>
      <c r="C33" s="16">
        <v>3.67</v>
      </c>
      <c r="G33" s="17"/>
      <c r="O33" s="17">
        <v>41384</v>
      </c>
      <c r="P33">
        <f t="shared" si="1"/>
        <v>2013</v>
      </c>
      <c r="Q33">
        <f t="shared" si="2"/>
        <v>4</v>
      </c>
      <c r="R33">
        <f t="shared" si="3"/>
        <v>20</v>
      </c>
      <c r="S33" t="str">
        <f t="shared" si="4"/>
        <v>2013-4-20</v>
      </c>
      <c r="T33" s="23">
        <v>138639.82</v>
      </c>
      <c r="V33" s="21">
        <f t="shared" si="5"/>
        <v>41415</v>
      </c>
      <c r="W33">
        <f t="shared" si="6"/>
        <v>2013</v>
      </c>
      <c r="X33">
        <f t="shared" si="7"/>
        <v>5</v>
      </c>
      <c r="Y33">
        <f t="shared" si="8"/>
        <v>21</v>
      </c>
      <c r="Z33" t="str">
        <f t="shared" si="9"/>
        <v>2013-5-21</v>
      </c>
      <c r="AA33">
        <f t="shared" si="10"/>
        <v>33.353999999999999</v>
      </c>
      <c r="AB33">
        <f t="shared" si="11"/>
        <v>3.53</v>
      </c>
    </row>
    <row r="34" spans="1:28" x14ac:dyDescent="0.25">
      <c r="A34" s="17">
        <v>41415</v>
      </c>
      <c r="B34" s="16">
        <v>33.353999999999999</v>
      </c>
      <c r="C34" s="16">
        <v>3.53</v>
      </c>
      <c r="G34" s="17"/>
      <c r="O34" s="17">
        <v>41385</v>
      </c>
      <c r="P34">
        <f t="shared" si="1"/>
        <v>2013</v>
      </c>
      <c r="Q34">
        <f t="shared" si="2"/>
        <v>4</v>
      </c>
      <c r="R34">
        <f t="shared" si="3"/>
        <v>21</v>
      </c>
      <c r="S34" t="str">
        <f t="shared" si="4"/>
        <v>2013-4-21</v>
      </c>
      <c r="T34" s="23">
        <v>138639.82</v>
      </c>
      <c r="V34" s="21">
        <f t="shared" si="5"/>
        <v>41416</v>
      </c>
      <c r="W34">
        <f t="shared" si="6"/>
        <v>2013</v>
      </c>
      <c r="X34">
        <f t="shared" si="7"/>
        <v>5</v>
      </c>
      <c r="Y34">
        <f t="shared" si="8"/>
        <v>22</v>
      </c>
      <c r="Z34" t="str">
        <f t="shared" si="9"/>
        <v>2013-5-22</v>
      </c>
      <c r="AA34">
        <f t="shared" si="10"/>
        <v>33.420999999999999</v>
      </c>
      <c r="AB34">
        <f t="shared" si="11"/>
        <v>3.75</v>
      </c>
    </row>
    <row r="35" spans="1:28" x14ac:dyDescent="0.25">
      <c r="A35" s="17">
        <v>41416</v>
      </c>
      <c r="B35" s="16">
        <v>33.420999999999999</v>
      </c>
      <c r="C35" s="16">
        <v>3.75</v>
      </c>
      <c r="G35" s="17"/>
      <c r="O35" s="17">
        <v>41386</v>
      </c>
      <c r="P35">
        <f t="shared" si="1"/>
        <v>2013</v>
      </c>
      <c r="Q35">
        <f t="shared" si="2"/>
        <v>4</v>
      </c>
      <c r="R35">
        <f t="shared" si="3"/>
        <v>22</v>
      </c>
      <c r="S35" t="str">
        <f t="shared" si="4"/>
        <v>2013-4-22</v>
      </c>
      <c r="T35" s="23">
        <v>138639.82</v>
      </c>
      <c r="V35" s="21">
        <f t="shared" si="5"/>
        <v>41417</v>
      </c>
      <c r="W35">
        <f t="shared" si="6"/>
        <v>2013</v>
      </c>
      <c r="X35">
        <f t="shared" si="7"/>
        <v>5</v>
      </c>
      <c r="Y35">
        <f t="shared" si="8"/>
        <v>23</v>
      </c>
      <c r="Z35" t="str">
        <f t="shared" si="9"/>
        <v>2013-5-23</v>
      </c>
      <c r="AA35">
        <f t="shared" si="10"/>
        <v>36.765000000000001</v>
      </c>
      <c r="AB35">
        <f t="shared" si="11"/>
        <v>3.79</v>
      </c>
    </row>
    <row r="36" spans="1:28" x14ac:dyDescent="0.25">
      <c r="A36" s="17">
        <v>41417</v>
      </c>
      <c r="B36" s="16">
        <v>36.765000000000001</v>
      </c>
      <c r="C36" s="16">
        <v>3.79</v>
      </c>
      <c r="G36" s="17"/>
      <c r="O36" s="17">
        <v>41387</v>
      </c>
      <c r="P36">
        <f t="shared" si="1"/>
        <v>2013</v>
      </c>
      <c r="Q36">
        <f t="shared" si="2"/>
        <v>4</v>
      </c>
      <c r="R36">
        <f t="shared" si="3"/>
        <v>23</v>
      </c>
      <c r="S36" t="str">
        <f t="shared" si="4"/>
        <v>2013-4-23</v>
      </c>
      <c r="T36" s="23">
        <v>138639.82</v>
      </c>
      <c r="V36" s="21">
        <f t="shared" si="5"/>
        <v>41418</v>
      </c>
      <c r="W36">
        <f t="shared" si="6"/>
        <v>2013</v>
      </c>
      <c r="X36">
        <f t="shared" si="7"/>
        <v>5</v>
      </c>
      <c r="Y36">
        <f t="shared" si="8"/>
        <v>24</v>
      </c>
      <c r="Z36" t="str">
        <f t="shared" si="9"/>
        <v>2013-5-24</v>
      </c>
      <c r="AA36">
        <f t="shared" si="10"/>
        <v>38.395000000000003</v>
      </c>
      <c r="AB36">
        <f t="shared" si="11"/>
        <v>4.96</v>
      </c>
    </row>
    <row r="37" spans="1:28" x14ac:dyDescent="0.25">
      <c r="A37" s="17">
        <v>41418</v>
      </c>
      <c r="B37" s="16">
        <v>38.395000000000003</v>
      </c>
      <c r="C37" s="16">
        <v>4.96</v>
      </c>
      <c r="G37" s="17"/>
      <c r="O37" s="17">
        <v>41388</v>
      </c>
      <c r="P37">
        <f t="shared" si="1"/>
        <v>2013</v>
      </c>
      <c r="Q37">
        <f t="shared" si="2"/>
        <v>4</v>
      </c>
      <c r="R37">
        <f t="shared" si="3"/>
        <v>24</v>
      </c>
      <c r="S37" t="str">
        <f t="shared" si="4"/>
        <v>2013-4-24</v>
      </c>
      <c r="T37" s="23">
        <v>138639.82</v>
      </c>
      <c r="V37" s="21">
        <f t="shared" si="5"/>
        <v>41419</v>
      </c>
      <c r="W37">
        <f t="shared" si="6"/>
        <v>2013</v>
      </c>
      <c r="X37">
        <f t="shared" si="7"/>
        <v>5</v>
      </c>
      <c r="Y37">
        <f t="shared" si="8"/>
        <v>25</v>
      </c>
      <c r="Z37" t="str">
        <f t="shared" si="9"/>
        <v>2013-5-25</v>
      </c>
      <c r="AA37">
        <f t="shared" si="10"/>
        <v>143.24199999999999</v>
      </c>
      <c r="AB37">
        <f t="shared" si="11"/>
        <v>43.4</v>
      </c>
    </row>
    <row r="38" spans="1:28" x14ac:dyDescent="0.25">
      <c r="A38" s="17">
        <v>41419</v>
      </c>
      <c r="B38" s="16">
        <v>143.24199999999999</v>
      </c>
      <c r="C38" s="16">
        <v>43.4</v>
      </c>
      <c r="G38" s="17"/>
      <c r="O38" s="17">
        <v>41389</v>
      </c>
      <c r="P38">
        <f t="shared" si="1"/>
        <v>2013</v>
      </c>
      <c r="Q38">
        <f t="shared" si="2"/>
        <v>4</v>
      </c>
      <c r="R38">
        <f t="shared" si="3"/>
        <v>25</v>
      </c>
      <c r="S38" t="str">
        <f t="shared" si="4"/>
        <v>2013-4-25</v>
      </c>
      <c r="T38" s="23">
        <v>138639.82</v>
      </c>
      <c r="V38" s="21">
        <f t="shared" si="5"/>
        <v>41420</v>
      </c>
      <c r="W38">
        <f t="shared" si="6"/>
        <v>2013</v>
      </c>
      <c r="X38">
        <f t="shared" si="7"/>
        <v>5</v>
      </c>
      <c r="Y38">
        <f t="shared" si="8"/>
        <v>26</v>
      </c>
      <c r="Z38" t="str">
        <f t="shared" si="9"/>
        <v>2013-5-26</v>
      </c>
      <c r="AA38">
        <f t="shared" si="10"/>
        <v>268.43200000000002</v>
      </c>
      <c r="AB38">
        <f t="shared" si="11"/>
        <v>79.599999999999994</v>
      </c>
    </row>
    <row r="39" spans="1:28" x14ac:dyDescent="0.25">
      <c r="A39" s="17">
        <v>41420</v>
      </c>
      <c r="B39" s="16">
        <v>268.43200000000002</v>
      </c>
      <c r="C39" s="16">
        <v>79.599999999999994</v>
      </c>
      <c r="G39" s="17"/>
      <c r="O39" s="17">
        <v>41390</v>
      </c>
      <c r="P39">
        <f t="shared" si="1"/>
        <v>2013</v>
      </c>
      <c r="Q39">
        <f t="shared" si="2"/>
        <v>4</v>
      </c>
      <c r="R39">
        <f t="shared" si="3"/>
        <v>26</v>
      </c>
      <c r="S39" t="str">
        <f t="shared" si="4"/>
        <v>2013-4-26</v>
      </c>
      <c r="T39" s="23">
        <v>138639.82</v>
      </c>
      <c r="V39" s="21">
        <f t="shared" si="5"/>
        <v>41421</v>
      </c>
      <c r="W39">
        <f t="shared" si="6"/>
        <v>2013</v>
      </c>
      <c r="X39">
        <f t="shared" si="7"/>
        <v>5</v>
      </c>
      <c r="Y39">
        <f t="shared" si="8"/>
        <v>27</v>
      </c>
      <c r="Z39" t="str">
        <f t="shared" si="9"/>
        <v>2013-5-27</v>
      </c>
      <c r="AA39">
        <f t="shared" si="10"/>
        <v>191.792</v>
      </c>
      <c r="AB39">
        <f t="shared" si="11"/>
        <v>52.9</v>
      </c>
    </row>
    <row r="40" spans="1:28" x14ac:dyDescent="0.25">
      <c r="A40" s="17">
        <v>41421</v>
      </c>
      <c r="B40" s="16">
        <v>191.792</v>
      </c>
      <c r="C40" s="16">
        <v>52.9</v>
      </c>
      <c r="G40" s="17"/>
      <c r="O40" s="17">
        <v>41391</v>
      </c>
      <c r="P40">
        <f t="shared" si="1"/>
        <v>2013</v>
      </c>
      <c r="Q40">
        <f t="shared" si="2"/>
        <v>4</v>
      </c>
      <c r="R40">
        <f t="shared" si="3"/>
        <v>27</v>
      </c>
      <c r="S40" t="str">
        <f t="shared" si="4"/>
        <v>2013-4-27</v>
      </c>
      <c r="T40" s="23">
        <v>138639.82</v>
      </c>
      <c r="V40" s="21">
        <f t="shared" si="5"/>
        <v>41422</v>
      </c>
      <c r="W40">
        <f t="shared" si="6"/>
        <v>2013</v>
      </c>
      <c r="X40">
        <f t="shared" si="7"/>
        <v>5</v>
      </c>
      <c r="Y40">
        <f t="shared" si="8"/>
        <v>28</v>
      </c>
      <c r="Z40" t="str">
        <f t="shared" si="9"/>
        <v>2013-5-28</v>
      </c>
      <c r="AA40">
        <f t="shared" si="10"/>
        <v>139.68799999999999</v>
      </c>
      <c r="AB40">
        <f t="shared" si="11"/>
        <v>33</v>
      </c>
    </row>
    <row r="41" spans="1:28" x14ac:dyDescent="0.25">
      <c r="A41" s="17">
        <v>41422</v>
      </c>
      <c r="B41" s="16">
        <v>139.68799999999999</v>
      </c>
      <c r="C41" s="16">
        <v>33</v>
      </c>
      <c r="G41" s="17"/>
      <c r="O41" s="17">
        <v>41392</v>
      </c>
      <c r="P41">
        <f t="shared" si="1"/>
        <v>2013</v>
      </c>
      <c r="Q41">
        <f t="shared" si="2"/>
        <v>4</v>
      </c>
      <c r="R41">
        <f t="shared" si="3"/>
        <v>28</v>
      </c>
      <c r="S41" t="str">
        <f t="shared" si="4"/>
        <v>2013-4-28</v>
      </c>
      <c r="T41" s="23">
        <v>138639.82</v>
      </c>
      <c r="V41" s="21">
        <f t="shared" si="5"/>
        <v>41423</v>
      </c>
      <c r="W41">
        <f t="shared" si="6"/>
        <v>2013</v>
      </c>
      <c r="X41">
        <f t="shared" si="7"/>
        <v>5</v>
      </c>
      <c r="Y41">
        <f t="shared" si="8"/>
        <v>29</v>
      </c>
      <c r="Z41" t="str">
        <f t="shared" si="9"/>
        <v>2013-5-29</v>
      </c>
      <c r="AA41">
        <f t="shared" si="10"/>
        <v>113.003</v>
      </c>
      <c r="AB41">
        <f t="shared" si="11"/>
        <v>25</v>
      </c>
    </row>
    <row r="42" spans="1:28" x14ac:dyDescent="0.25">
      <c r="A42" s="17">
        <v>41423</v>
      </c>
      <c r="B42" s="16">
        <v>113.003</v>
      </c>
      <c r="C42" s="16">
        <v>25</v>
      </c>
      <c r="G42" s="17"/>
      <c r="O42" s="17">
        <v>41393</v>
      </c>
      <c r="P42">
        <f t="shared" si="1"/>
        <v>2013</v>
      </c>
      <c r="Q42">
        <f t="shared" si="2"/>
        <v>4</v>
      </c>
      <c r="R42">
        <f t="shared" si="3"/>
        <v>29</v>
      </c>
      <c r="S42" t="str">
        <f t="shared" si="4"/>
        <v>2013-4-29</v>
      </c>
      <c r="T42" s="23">
        <v>138639.82</v>
      </c>
      <c r="V42" s="21">
        <f t="shared" si="5"/>
        <v>41424</v>
      </c>
      <c r="W42">
        <f t="shared" si="6"/>
        <v>2013</v>
      </c>
      <c r="X42">
        <f t="shared" si="7"/>
        <v>5</v>
      </c>
      <c r="Y42">
        <f t="shared" si="8"/>
        <v>30</v>
      </c>
      <c r="Z42" t="str">
        <f t="shared" si="9"/>
        <v>2013-5-30</v>
      </c>
      <c r="AA42">
        <f t="shared" si="10"/>
        <v>120.771</v>
      </c>
      <c r="AB42">
        <f t="shared" si="11"/>
        <v>22.7</v>
      </c>
    </row>
    <row r="43" spans="1:28" x14ac:dyDescent="0.25">
      <c r="A43" s="17">
        <v>41424</v>
      </c>
      <c r="B43" s="16">
        <v>120.771</v>
      </c>
      <c r="C43" s="16">
        <v>22.7</v>
      </c>
      <c r="G43" s="17"/>
      <c r="O43" s="17">
        <v>41394</v>
      </c>
      <c r="P43">
        <f t="shared" si="1"/>
        <v>2013</v>
      </c>
      <c r="Q43">
        <f t="shared" si="2"/>
        <v>4</v>
      </c>
      <c r="R43">
        <f t="shared" si="3"/>
        <v>30</v>
      </c>
      <c r="S43" t="str">
        <f t="shared" si="4"/>
        <v>2013-4-30</v>
      </c>
      <c r="T43" s="23">
        <v>138639.82</v>
      </c>
      <c r="V43" s="21">
        <f t="shared" si="5"/>
        <v>41425</v>
      </c>
      <c r="W43">
        <f t="shared" si="6"/>
        <v>2013</v>
      </c>
      <c r="X43">
        <f t="shared" si="7"/>
        <v>5</v>
      </c>
      <c r="Y43">
        <f t="shared" si="8"/>
        <v>31</v>
      </c>
      <c r="Z43" t="str">
        <f t="shared" si="9"/>
        <v>2013-5-31</v>
      </c>
      <c r="AA43">
        <f t="shared" si="10"/>
        <v>125.303</v>
      </c>
      <c r="AB43">
        <f t="shared" si="11"/>
        <v>25.1</v>
      </c>
    </row>
    <row r="44" spans="1:28" x14ac:dyDescent="0.25">
      <c r="A44" s="17">
        <v>41425</v>
      </c>
      <c r="B44" s="16">
        <v>125.303</v>
      </c>
      <c r="C44" s="16">
        <v>25.1</v>
      </c>
      <c r="G44" s="17"/>
      <c r="O44" s="17">
        <v>41395</v>
      </c>
      <c r="P44">
        <f t="shared" si="1"/>
        <v>2013</v>
      </c>
      <c r="Q44">
        <f t="shared" si="2"/>
        <v>5</v>
      </c>
      <c r="R44">
        <f t="shared" si="3"/>
        <v>1</v>
      </c>
      <c r="S44" t="str">
        <f t="shared" si="4"/>
        <v>2013-5-1</v>
      </c>
      <c r="T44" s="23">
        <v>138639.82</v>
      </c>
      <c r="V44" s="21">
        <f t="shared" si="5"/>
        <v>41426</v>
      </c>
      <c r="W44">
        <f t="shared" si="6"/>
        <v>2013</v>
      </c>
      <c r="X44">
        <f t="shared" si="7"/>
        <v>6</v>
      </c>
      <c r="Y44">
        <f t="shared" si="8"/>
        <v>1</v>
      </c>
      <c r="Z44" t="str">
        <f t="shared" si="9"/>
        <v>2013-6-1</v>
      </c>
      <c r="AA44">
        <f t="shared" si="10"/>
        <v>144.34700000000001</v>
      </c>
      <c r="AB44">
        <f t="shared" si="11"/>
        <v>28.1</v>
      </c>
    </row>
    <row r="45" spans="1:28" x14ac:dyDescent="0.25">
      <c r="A45" s="17">
        <v>41426</v>
      </c>
      <c r="B45" s="16">
        <v>144.34700000000001</v>
      </c>
      <c r="C45" s="16">
        <v>28.1</v>
      </c>
      <c r="G45" s="17"/>
      <c r="O45" s="17">
        <v>41396</v>
      </c>
      <c r="P45">
        <f t="shared" si="1"/>
        <v>2013</v>
      </c>
      <c r="Q45">
        <f t="shared" si="2"/>
        <v>5</v>
      </c>
      <c r="R45">
        <f t="shared" si="3"/>
        <v>2</v>
      </c>
      <c r="S45" t="str">
        <f t="shared" si="4"/>
        <v>2013-5-2</v>
      </c>
      <c r="T45" s="23">
        <v>138639.82</v>
      </c>
      <c r="V45" s="21">
        <f t="shared" si="5"/>
        <v>41427</v>
      </c>
      <c r="W45">
        <f t="shared" si="6"/>
        <v>2013</v>
      </c>
      <c r="X45">
        <f t="shared" si="7"/>
        <v>6</v>
      </c>
      <c r="Y45">
        <f t="shared" si="8"/>
        <v>2</v>
      </c>
      <c r="Z45" t="str">
        <f t="shared" si="9"/>
        <v>2013-6-2</v>
      </c>
      <c r="AA45">
        <f t="shared" si="10"/>
        <v>129.84899999999999</v>
      </c>
      <c r="AB45">
        <f t="shared" si="11"/>
        <v>26.7</v>
      </c>
    </row>
    <row r="46" spans="1:28" x14ac:dyDescent="0.25">
      <c r="A46" s="17">
        <v>41427</v>
      </c>
      <c r="B46" s="16">
        <v>129.84899999999999</v>
      </c>
      <c r="C46" s="16">
        <v>26.7</v>
      </c>
      <c r="G46" s="17"/>
      <c r="O46" s="17">
        <v>41397</v>
      </c>
      <c r="P46">
        <f t="shared" si="1"/>
        <v>2013</v>
      </c>
      <c r="Q46">
        <f t="shared" si="2"/>
        <v>5</v>
      </c>
      <c r="R46">
        <f t="shared" si="3"/>
        <v>3</v>
      </c>
      <c r="S46" t="str">
        <f t="shared" si="4"/>
        <v>2013-5-3</v>
      </c>
      <c r="T46" s="23">
        <v>138639.82</v>
      </c>
      <c r="V46" s="21">
        <f t="shared" si="5"/>
        <v>41428</v>
      </c>
      <c r="W46">
        <f t="shared" si="6"/>
        <v>2013</v>
      </c>
      <c r="X46">
        <f t="shared" si="7"/>
        <v>6</v>
      </c>
      <c r="Y46">
        <f t="shared" si="8"/>
        <v>3</v>
      </c>
      <c r="Z46" t="str">
        <f t="shared" si="9"/>
        <v>2013-6-3</v>
      </c>
      <c r="AA46">
        <f t="shared" si="10"/>
        <v>122.95699999999999</v>
      </c>
      <c r="AB46">
        <f t="shared" si="11"/>
        <v>29.5</v>
      </c>
    </row>
    <row r="47" spans="1:28" x14ac:dyDescent="0.25">
      <c r="A47" s="17">
        <v>41428</v>
      </c>
      <c r="B47" s="16">
        <v>122.95699999999999</v>
      </c>
      <c r="C47" s="16">
        <v>29.5</v>
      </c>
      <c r="G47" s="17"/>
      <c r="O47" s="17">
        <v>41398</v>
      </c>
      <c r="P47">
        <f t="shared" si="1"/>
        <v>2013</v>
      </c>
      <c r="Q47">
        <f t="shared" si="2"/>
        <v>5</v>
      </c>
      <c r="R47">
        <f t="shared" si="3"/>
        <v>4</v>
      </c>
      <c r="S47" t="str">
        <f t="shared" si="4"/>
        <v>2013-5-4</v>
      </c>
      <c r="T47" s="23">
        <v>138639.82</v>
      </c>
      <c r="V47" s="21">
        <f t="shared" si="5"/>
        <v>41429</v>
      </c>
      <c r="W47">
        <f t="shared" si="6"/>
        <v>2013</v>
      </c>
      <c r="X47">
        <f t="shared" si="7"/>
        <v>6</v>
      </c>
      <c r="Y47">
        <f t="shared" si="8"/>
        <v>4</v>
      </c>
      <c r="Z47" t="str">
        <f t="shared" si="9"/>
        <v>2013-6-4</v>
      </c>
      <c r="AA47">
        <f t="shared" si="10"/>
        <v>199.80699999999999</v>
      </c>
      <c r="AB47">
        <f t="shared" si="11"/>
        <v>51.4</v>
      </c>
    </row>
    <row r="48" spans="1:28" x14ac:dyDescent="0.25">
      <c r="A48" s="17">
        <v>41429</v>
      </c>
      <c r="B48" s="16">
        <v>199.80699999999999</v>
      </c>
      <c r="C48" s="16">
        <v>51.4</v>
      </c>
      <c r="G48" s="17"/>
      <c r="O48" s="17">
        <v>41399</v>
      </c>
      <c r="P48">
        <f t="shared" si="1"/>
        <v>2013</v>
      </c>
      <c r="Q48">
        <f t="shared" si="2"/>
        <v>5</v>
      </c>
      <c r="R48">
        <f t="shared" si="3"/>
        <v>5</v>
      </c>
      <c r="S48" t="str">
        <f t="shared" si="4"/>
        <v>2013-5-5</v>
      </c>
      <c r="T48" s="23">
        <v>138639.82</v>
      </c>
      <c r="V48" s="21">
        <f t="shared" si="5"/>
        <v>41430</v>
      </c>
      <c r="W48">
        <f t="shared" si="6"/>
        <v>2013</v>
      </c>
      <c r="X48">
        <f t="shared" si="7"/>
        <v>6</v>
      </c>
      <c r="Y48">
        <f t="shared" si="8"/>
        <v>5</v>
      </c>
      <c r="Z48" t="str">
        <f t="shared" si="9"/>
        <v>2013-6-5</v>
      </c>
      <c r="AA48">
        <f t="shared" si="10"/>
        <v>200.464</v>
      </c>
      <c r="AB48">
        <f t="shared" si="11"/>
        <v>47.1</v>
      </c>
    </row>
    <row r="49" spans="1:28" x14ac:dyDescent="0.25">
      <c r="A49" s="17">
        <v>41430</v>
      </c>
      <c r="B49" s="16">
        <v>200.464</v>
      </c>
      <c r="C49" s="16">
        <v>47.1</v>
      </c>
      <c r="G49" s="17"/>
      <c r="O49" s="17">
        <v>41400</v>
      </c>
      <c r="P49">
        <f t="shared" si="1"/>
        <v>2013</v>
      </c>
      <c r="Q49">
        <f t="shared" si="2"/>
        <v>5</v>
      </c>
      <c r="R49">
        <f t="shared" si="3"/>
        <v>6</v>
      </c>
      <c r="S49" t="str">
        <f t="shared" si="4"/>
        <v>2013-5-6</v>
      </c>
      <c r="T49" s="23">
        <v>138639.82</v>
      </c>
      <c r="V49" s="21">
        <f t="shared" si="5"/>
        <v>41431</v>
      </c>
      <c r="W49">
        <f t="shared" si="6"/>
        <v>2013</v>
      </c>
      <c r="X49">
        <f t="shared" si="7"/>
        <v>6</v>
      </c>
      <c r="Y49">
        <f t="shared" si="8"/>
        <v>6</v>
      </c>
      <c r="Z49" t="str">
        <f t="shared" si="9"/>
        <v>2013-6-6</v>
      </c>
      <c r="AA49">
        <f t="shared" si="10"/>
        <v>170.23699999999999</v>
      </c>
      <c r="AB49">
        <f t="shared" si="11"/>
        <v>34</v>
      </c>
    </row>
    <row r="50" spans="1:28" x14ac:dyDescent="0.25">
      <c r="A50" s="17">
        <v>41431</v>
      </c>
      <c r="B50" s="16">
        <v>170.23699999999999</v>
      </c>
      <c r="C50" s="16">
        <v>34</v>
      </c>
      <c r="G50" s="17"/>
      <c r="O50" s="17">
        <v>41401</v>
      </c>
      <c r="P50">
        <f t="shared" si="1"/>
        <v>2013</v>
      </c>
      <c r="Q50">
        <f t="shared" si="2"/>
        <v>5</v>
      </c>
      <c r="R50">
        <f t="shared" si="3"/>
        <v>7</v>
      </c>
      <c r="S50" t="str">
        <f t="shared" si="4"/>
        <v>2013-5-7</v>
      </c>
      <c r="T50" s="23">
        <v>138639.82</v>
      </c>
      <c r="V50" s="21">
        <f t="shared" si="5"/>
        <v>41432</v>
      </c>
      <c r="W50">
        <f t="shared" si="6"/>
        <v>2013</v>
      </c>
      <c r="X50">
        <f t="shared" si="7"/>
        <v>6</v>
      </c>
      <c r="Y50">
        <f t="shared" si="8"/>
        <v>7</v>
      </c>
      <c r="Z50" t="str">
        <f t="shared" si="9"/>
        <v>2013-6-7</v>
      </c>
      <c r="AA50">
        <f t="shared" si="10"/>
        <v>150.92500000000001</v>
      </c>
      <c r="AB50">
        <f t="shared" si="11"/>
        <v>25.5</v>
      </c>
    </row>
    <row r="51" spans="1:28" x14ac:dyDescent="0.25">
      <c r="A51" s="17">
        <v>41432</v>
      </c>
      <c r="B51" s="16">
        <v>150.92500000000001</v>
      </c>
      <c r="C51" s="16">
        <v>25.5</v>
      </c>
      <c r="G51" s="17"/>
      <c r="O51" s="17">
        <v>41402</v>
      </c>
      <c r="P51">
        <f t="shared" si="1"/>
        <v>2013</v>
      </c>
      <c r="Q51">
        <f t="shared" si="2"/>
        <v>5</v>
      </c>
      <c r="R51">
        <f t="shared" si="3"/>
        <v>8</v>
      </c>
      <c r="S51" t="str">
        <f t="shared" si="4"/>
        <v>2013-5-8</v>
      </c>
      <c r="T51" s="23">
        <v>138639.82</v>
      </c>
      <c r="V51" s="21">
        <f t="shared" si="5"/>
        <v>41433</v>
      </c>
      <c r="W51">
        <f t="shared" si="6"/>
        <v>2013</v>
      </c>
      <c r="X51">
        <f t="shared" si="7"/>
        <v>6</v>
      </c>
      <c r="Y51">
        <f t="shared" si="8"/>
        <v>8</v>
      </c>
      <c r="Z51" t="str">
        <f t="shared" si="9"/>
        <v>2013-6-8</v>
      </c>
      <c r="AA51">
        <f t="shared" si="10"/>
        <v>142.935</v>
      </c>
      <c r="AB51">
        <f t="shared" si="11"/>
        <v>21.4</v>
      </c>
    </row>
    <row r="52" spans="1:28" x14ac:dyDescent="0.25">
      <c r="A52" s="17">
        <v>41433</v>
      </c>
      <c r="B52" s="16">
        <v>142.935</v>
      </c>
      <c r="C52" s="16">
        <v>21.4</v>
      </c>
      <c r="G52" s="17"/>
      <c r="O52" s="17">
        <v>41403</v>
      </c>
      <c r="P52">
        <f t="shared" si="1"/>
        <v>2013</v>
      </c>
      <c r="Q52">
        <f t="shared" si="2"/>
        <v>5</v>
      </c>
      <c r="R52">
        <f t="shared" si="3"/>
        <v>9</v>
      </c>
      <c r="S52" t="str">
        <f t="shared" si="4"/>
        <v>2013-5-9</v>
      </c>
      <c r="T52" s="23">
        <v>138639.82</v>
      </c>
      <c r="V52" s="21">
        <f t="shared" si="5"/>
        <v>41434</v>
      </c>
      <c r="W52">
        <f t="shared" si="6"/>
        <v>2013</v>
      </c>
      <c r="X52">
        <f t="shared" si="7"/>
        <v>6</v>
      </c>
      <c r="Y52">
        <f t="shared" si="8"/>
        <v>9</v>
      </c>
      <c r="Z52" t="str">
        <f t="shared" si="9"/>
        <v>2013-6-9</v>
      </c>
      <c r="AA52">
        <f t="shared" si="10"/>
        <v>144.31899999999999</v>
      </c>
      <c r="AB52">
        <f t="shared" si="11"/>
        <v>18.7</v>
      </c>
    </row>
    <row r="53" spans="1:28" x14ac:dyDescent="0.25">
      <c r="A53" s="17">
        <v>41434</v>
      </c>
      <c r="B53" s="16">
        <v>144.31899999999999</v>
      </c>
      <c r="C53" s="16">
        <v>18.7</v>
      </c>
      <c r="G53" s="17"/>
      <c r="O53" s="17">
        <v>41404</v>
      </c>
      <c r="P53">
        <f t="shared" si="1"/>
        <v>2013</v>
      </c>
      <c r="Q53">
        <f t="shared" si="2"/>
        <v>5</v>
      </c>
      <c r="R53">
        <f t="shared" si="3"/>
        <v>10</v>
      </c>
      <c r="S53" t="str">
        <f t="shared" si="4"/>
        <v>2013-5-10</v>
      </c>
      <c r="T53" s="23">
        <v>138639.82</v>
      </c>
      <c r="V53" s="21">
        <f t="shared" si="5"/>
        <v>41435</v>
      </c>
      <c r="W53">
        <f t="shared" si="6"/>
        <v>2013</v>
      </c>
      <c r="X53">
        <f t="shared" si="7"/>
        <v>6</v>
      </c>
      <c r="Y53">
        <f t="shared" si="8"/>
        <v>10</v>
      </c>
      <c r="Z53" t="str">
        <f t="shared" si="9"/>
        <v>2013-6-10</v>
      </c>
      <c r="AA53">
        <f t="shared" si="10"/>
        <v>130.10599999999999</v>
      </c>
      <c r="AB53">
        <f t="shared" si="11"/>
        <v>16.899999999999999</v>
      </c>
    </row>
    <row r="54" spans="1:28" x14ac:dyDescent="0.25">
      <c r="A54" s="17">
        <v>41435</v>
      </c>
      <c r="B54" s="16">
        <v>130.10599999999999</v>
      </c>
      <c r="C54" s="16">
        <v>16.899999999999999</v>
      </c>
      <c r="G54" s="17"/>
      <c r="O54" s="17">
        <v>41405</v>
      </c>
      <c r="P54">
        <f t="shared" si="1"/>
        <v>2013</v>
      </c>
      <c r="Q54">
        <f t="shared" si="2"/>
        <v>5</v>
      </c>
      <c r="R54">
        <f t="shared" si="3"/>
        <v>11</v>
      </c>
      <c r="S54" t="str">
        <f t="shared" si="4"/>
        <v>2013-5-11</v>
      </c>
      <c r="T54" s="23">
        <v>138639.82</v>
      </c>
      <c r="V54" s="21">
        <f t="shared" si="5"/>
        <v>41436</v>
      </c>
      <c r="W54">
        <f t="shared" si="6"/>
        <v>2013</v>
      </c>
      <c r="X54">
        <f t="shared" si="7"/>
        <v>6</v>
      </c>
      <c r="Y54">
        <f t="shared" si="8"/>
        <v>11</v>
      </c>
      <c r="Z54" t="str">
        <f t="shared" si="9"/>
        <v>2013-6-11</v>
      </c>
      <c r="AA54">
        <f t="shared" si="10"/>
        <v>111.57599999999999</v>
      </c>
      <c r="AB54">
        <f t="shared" si="11"/>
        <v>17.2</v>
      </c>
    </row>
    <row r="55" spans="1:28" x14ac:dyDescent="0.25">
      <c r="A55" s="17">
        <v>41436</v>
      </c>
      <c r="B55" s="16">
        <v>111.57599999999999</v>
      </c>
      <c r="C55" s="16">
        <v>17.2</v>
      </c>
      <c r="G55" s="17"/>
      <c r="O55" s="17">
        <v>41406</v>
      </c>
      <c r="P55">
        <f t="shared" si="1"/>
        <v>2013</v>
      </c>
      <c r="Q55">
        <f t="shared" si="2"/>
        <v>5</v>
      </c>
      <c r="R55">
        <f t="shared" si="3"/>
        <v>12</v>
      </c>
      <c r="S55" t="str">
        <f t="shared" si="4"/>
        <v>2013-5-12</v>
      </c>
      <c r="T55" s="23">
        <v>138639.82</v>
      </c>
      <c r="V55" s="21">
        <f t="shared" si="5"/>
        <v>41437</v>
      </c>
      <c r="W55">
        <f t="shared" si="6"/>
        <v>2013</v>
      </c>
      <c r="X55">
        <f t="shared" si="7"/>
        <v>6</v>
      </c>
      <c r="Y55">
        <f t="shared" si="8"/>
        <v>12</v>
      </c>
      <c r="Z55" t="str">
        <f t="shared" si="9"/>
        <v>2013-6-12</v>
      </c>
      <c r="AA55">
        <f t="shared" si="10"/>
        <v>89.055000000000007</v>
      </c>
      <c r="AB55">
        <f t="shared" si="11"/>
        <v>15.4</v>
      </c>
    </row>
    <row r="56" spans="1:28" x14ac:dyDescent="0.25">
      <c r="A56" s="17">
        <v>41437</v>
      </c>
      <c r="B56" s="16">
        <v>89.055000000000007</v>
      </c>
      <c r="C56" s="16">
        <v>15.4</v>
      </c>
      <c r="G56" s="17"/>
      <c r="O56" s="17">
        <v>41407</v>
      </c>
      <c r="P56">
        <f t="shared" si="1"/>
        <v>2013</v>
      </c>
      <c r="Q56">
        <f t="shared" si="2"/>
        <v>5</v>
      </c>
      <c r="R56">
        <f t="shared" si="3"/>
        <v>13</v>
      </c>
      <c r="S56" t="str">
        <f t="shared" si="4"/>
        <v>2013-5-13</v>
      </c>
      <c r="T56" s="23">
        <v>138639.82</v>
      </c>
      <c r="V56" s="21">
        <f t="shared" si="5"/>
        <v>41438</v>
      </c>
      <c r="W56">
        <f t="shared" si="6"/>
        <v>2013</v>
      </c>
      <c r="X56">
        <f t="shared" si="7"/>
        <v>6</v>
      </c>
      <c r="Y56">
        <f t="shared" si="8"/>
        <v>13</v>
      </c>
      <c r="Z56" t="str">
        <f t="shared" si="9"/>
        <v>2013-6-13</v>
      </c>
      <c r="AA56">
        <f t="shared" si="10"/>
        <v>102.55200000000001</v>
      </c>
      <c r="AB56">
        <f t="shared" si="11"/>
        <v>14.1</v>
      </c>
    </row>
    <row r="57" spans="1:28" x14ac:dyDescent="0.25">
      <c r="A57" s="17">
        <v>41438</v>
      </c>
      <c r="B57" s="16">
        <v>102.55200000000001</v>
      </c>
      <c r="C57" s="16">
        <v>14.1</v>
      </c>
      <c r="G57" s="17"/>
      <c r="O57" s="17">
        <v>41408</v>
      </c>
      <c r="P57">
        <f t="shared" si="1"/>
        <v>2013</v>
      </c>
      <c r="Q57">
        <f t="shared" si="2"/>
        <v>5</v>
      </c>
      <c r="R57">
        <f t="shared" si="3"/>
        <v>14</v>
      </c>
      <c r="S57" t="str">
        <f t="shared" si="4"/>
        <v>2013-5-14</v>
      </c>
      <c r="T57" s="23">
        <v>138639.82</v>
      </c>
      <c r="V57" s="21">
        <f t="shared" si="5"/>
        <v>41439</v>
      </c>
      <c r="W57">
        <f t="shared" si="6"/>
        <v>2013</v>
      </c>
      <c r="X57">
        <f t="shared" si="7"/>
        <v>6</v>
      </c>
      <c r="Y57">
        <f t="shared" si="8"/>
        <v>14</v>
      </c>
      <c r="Z57" t="str">
        <f t="shared" si="9"/>
        <v>2013-6-14</v>
      </c>
      <c r="AA57">
        <f t="shared" si="10"/>
        <v>97.555999999999997</v>
      </c>
      <c r="AB57">
        <f t="shared" si="11"/>
        <v>13.2</v>
      </c>
    </row>
    <row r="58" spans="1:28" x14ac:dyDescent="0.25">
      <c r="A58" s="17">
        <v>41439</v>
      </c>
      <c r="B58" s="16">
        <v>97.555999999999997</v>
      </c>
      <c r="C58" s="16">
        <v>13.2</v>
      </c>
      <c r="G58" s="17"/>
      <c r="O58" s="17">
        <v>41409</v>
      </c>
      <c r="P58">
        <f t="shared" si="1"/>
        <v>2013</v>
      </c>
      <c r="Q58">
        <f t="shared" si="2"/>
        <v>5</v>
      </c>
      <c r="R58">
        <f t="shared" si="3"/>
        <v>15</v>
      </c>
      <c r="S58" t="str">
        <f t="shared" si="4"/>
        <v>2013-5-15</v>
      </c>
      <c r="T58" s="23">
        <v>138639.82</v>
      </c>
      <c r="V58" s="21">
        <f t="shared" si="5"/>
        <v>41440</v>
      </c>
      <c r="W58">
        <f t="shared" si="6"/>
        <v>2013</v>
      </c>
      <c r="X58">
        <f t="shared" si="7"/>
        <v>6</v>
      </c>
      <c r="Y58">
        <f t="shared" si="8"/>
        <v>15</v>
      </c>
      <c r="Z58" t="str">
        <f t="shared" si="9"/>
        <v>2013-6-15</v>
      </c>
      <c r="AA58">
        <f t="shared" si="10"/>
        <v>92.295000000000002</v>
      </c>
      <c r="AB58">
        <f t="shared" si="11"/>
        <v>13.2</v>
      </c>
    </row>
    <row r="59" spans="1:28" x14ac:dyDescent="0.25">
      <c r="A59" s="17">
        <v>41440</v>
      </c>
      <c r="B59" s="16">
        <v>92.295000000000002</v>
      </c>
      <c r="C59" s="16">
        <v>13.2</v>
      </c>
      <c r="G59" s="17"/>
      <c r="O59" s="17">
        <v>41410</v>
      </c>
      <c r="P59">
        <f t="shared" si="1"/>
        <v>2013</v>
      </c>
      <c r="Q59">
        <f t="shared" si="2"/>
        <v>5</v>
      </c>
      <c r="R59">
        <f t="shared" si="3"/>
        <v>16</v>
      </c>
      <c r="S59" t="str">
        <f t="shared" si="4"/>
        <v>2013-5-16</v>
      </c>
      <c r="T59" s="23">
        <v>138639.82</v>
      </c>
      <c r="V59" s="21">
        <f t="shared" si="5"/>
        <v>41441</v>
      </c>
      <c r="W59">
        <f t="shared" si="6"/>
        <v>2013</v>
      </c>
      <c r="X59">
        <f t="shared" si="7"/>
        <v>6</v>
      </c>
      <c r="Y59">
        <f t="shared" si="8"/>
        <v>16</v>
      </c>
      <c r="Z59" t="str">
        <f t="shared" si="9"/>
        <v>2013-6-16</v>
      </c>
      <c r="AA59">
        <f t="shared" si="10"/>
        <v>86.135000000000005</v>
      </c>
      <c r="AB59">
        <f t="shared" si="11"/>
        <v>13.7</v>
      </c>
    </row>
    <row r="60" spans="1:28" x14ac:dyDescent="0.25">
      <c r="A60" s="17">
        <v>41441</v>
      </c>
      <c r="B60" s="16">
        <v>86.135000000000005</v>
      </c>
      <c r="C60" s="16">
        <v>13.7</v>
      </c>
      <c r="G60" s="17"/>
      <c r="O60" s="17">
        <v>41411</v>
      </c>
      <c r="P60">
        <f t="shared" si="1"/>
        <v>2013</v>
      </c>
      <c r="Q60">
        <f t="shared" si="2"/>
        <v>5</v>
      </c>
      <c r="R60">
        <f t="shared" si="3"/>
        <v>17</v>
      </c>
      <c r="S60" t="str">
        <f t="shared" si="4"/>
        <v>2013-5-17</v>
      </c>
      <c r="T60" s="23">
        <v>138639.82</v>
      </c>
      <c r="V60" s="21">
        <f t="shared" si="5"/>
        <v>41442</v>
      </c>
      <c r="W60">
        <f t="shared" si="6"/>
        <v>2013</v>
      </c>
      <c r="X60">
        <f t="shared" si="7"/>
        <v>6</v>
      </c>
      <c r="Y60">
        <f t="shared" si="8"/>
        <v>17</v>
      </c>
      <c r="Z60" t="str">
        <f t="shared" si="9"/>
        <v>2013-6-17</v>
      </c>
      <c r="AA60">
        <f t="shared" si="10"/>
        <v>60.468000000000004</v>
      </c>
      <c r="AB60">
        <f t="shared" si="11"/>
        <v>13.4</v>
      </c>
    </row>
    <row r="61" spans="1:28" x14ac:dyDescent="0.25">
      <c r="A61" s="17">
        <v>41442</v>
      </c>
      <c r="B61" s="16">
        <v>60.468000000000004</v>
      </c>
      <c r="C61" s="16">
        <v>13.4</v>
      </c>
      <c r="G61" s="17"/>
      <c r="O61" s="17">
        <v>41412</v>
      </c>
      <c r="P61">
        <f t="shared" si="1"/>
        <v>2013</v>
      </c>
      <c r="Q61">
        <f t="shared" si="2"/>
        <v>5</v>
      </c>
      <c r="R61">
        <f t="shared" si="3"/>
        <v>18</v>
      </c>
      <c r="S61" t="str">
        <f t="shared" si="4"/>
        <v>2013-5-18</v>
      </c>
      <c r="T61" s="23">
        <v>138639.82</v>
      </c>
      <c r="V61" s="21">
        <f t="shared" si="5"/>
        <v>41443</v>
      </c>
      <c r="W61">
        <f t="shared" si="6"/>
        <v>2013</v>
      </c>
      <c r="X61">
        <f t="shared" si="7"/>
        <v>6</v>
      </c>
      <c r="Y61">
        <f t="shared" si="8"/>
        <v>18</v>
      </c>
      <c r="Z61" t="str">
        <f t="shared" si="9"/>
        <v>2013-6-18</v>
      </c>
      <c r="AA61">
        <f t="shared" si="10"/>
        <v>99.596999999999994</v>
      </c>
      <c r="AB61">
        <f t="shared" si="11"/>
        <v>11.9</v>
      </c>
    </row>
    <row r="62" spans="1:28" x14ac:dyDescent="0.25">
      <c r="A62" s="17">
        <v>41443</v>
      </c>
      <c r="B62" s="16">
        <v>99.596999999999994</v>
      </c>
      <c r="C62" s="16">
        <v>11.9</v>
      </c>
      <c r="G62" s="17"/>
      <c r="O62" s="17">
        <v>41413</v>
      </c>
      <c r="P62">
        <f t="shared" si="1"/>
        <v>2013</v>
      </c>
      <c r="Q62">
        <f t="shared" si="2"/>
        <v>5</v>
      </c>
      <c r="R62">
        <f t="shared" si="3"/>
        <v>19</v>
      </c>
      <c r="S62" t="str">
        <f t="shared" si="4"/>
        <v>2013-5-19</v>
      </c>
      <c r="T62" s="23">
        <v>138639.82</v>
      </c>
      <c r="V62" s="21">
        <f t="shared" si="5"/>
        <v>41444</v>
      </c>
      <c r="W62">
        <f t="shared" si="6"/>
        <v>2013</v>
      </c>
      <c r="X62">
        <f t="shared" si="7"/>
        <v>6</v>
      </c>
      <c r="Y62">
        <f t="shared" si="8"/>
        <v>19</v>
      </c>
      <c r="Z62" t="str">
        <f t="shared" si="9"/>
        <v>2013-6-19</v>
      </c>
      <c r="AA62">
        <f t="shared" si="10"/>
        <v>90.492999999999995</v>
      </c>
      <c r="AB62">
        <f t="shared" si="11"/>
        <v>11.1</v>
      </c>
    </row>
    <row r="63" spans="1:28" x14ac:dyDescent="0.25">
      <c r="A63" s="17">
        <v>41444</v>
      </c>
      <c r="B63" s="16">
        <v>90.492999999999995</v>
      </c>
      <c r="C63" s="16">
        <v>11.1</v>
      </c>
      <c r="G63" s="17"/>
      <c r="O63" s="17">
        <v>41414</v>
      </c>
      <c r="P63">
        <f t="shared" si="1"/>
        <v>2013</v>
      </c>
      <c r="Q63">
        <f t="shared" si="2"/>
        <v>5</v>
      </c>
      <c r="R63">
        <f t="shared" si="3"/>
        <v>20</v>
      </c>
      <c r="S63" t="str">
        <f t="shared" si="4"/>
        <v>2013-5-20</v>
      </c>
      <c r="T63" s="23">
        <v>138639.82</v>
      </c>
      <c r="V63" s="21">
        <f t="shared" si="5"/>
        <v>41445</v>
      </c>
      <c r="W63">
        <f t="shared" si="6"/>
        <v>2013</v>
      </c>
      <c r="X63">
        <f t="shared" si="7"/>
        <v>6</v>
      </c>
      <c r="Y63">
        <f t="shared" si="8"/>
        <v>20</v>
      </c>
      <c r="Z63" t="str">
        <f t="shared" si="9"/>
        <v>2013-6-20</v>
      </c>
      <c r="AA63">
        <f t="shared" si="10"/>
        <v>107.4</v>
      </c>
      <c r="AB63">
        <f t="shared" si="11"/>
        <v>11.5</v>
      </c>
    </row>
    <row r="64" spans="1:28" x14ac:dyDescent="0.25">
      <c r="A64" s="17">
        <v>41445</v>
      </c>
      <c r="B64" s="16">
        <v>107.4</v>
      </c>
      <c r="C64" s="16">
        <v>11.5</v>
      </c>
      <c r="G64" s="17"/>
      <c r="O64" s="17">
        <v>41415</v>
      </c>
      <c r="P64">
        <f t="shared" si="1"/>
        <v>2013</v>
      </c>
      <c r="Q64">
        <f t="shared" si="2"/>
        <v>5</v>
      </c>
      <c r="R64">
        <f t="shared" si="3"/>
        <v>21</v>
      </c>
      <c r="S64" t="str">
        <f t="shared" si="4"/>
        <v>2013-5-21</v>
      </c>
      <c r="T64" s="23">
        <v>138639.82</v>
      </c>
      <c r="V64" s="21">
        <f t="shared" si="5"/>
        <v>41446</v>
      </c>
      <c r="W64">
        <f t="shared" si="6"/>
        <v>2013</v>
      </c>
      <c r="X64">
        <f t="shared" si="7"/>
        <v>6</v>
      </c>
      <c r="Y64">
        <f t="shared" si="8"/>
        <v>21</v>
      </c>
      <c r="Z64" t="str">
        <f t="shared" si="9"/>
        <v>2013-6-21</v>
      </c>
      <c r="AA64">
        <f t="shared" si="10"/>
        <v>1010.603</v>
      </c>
      <c r="AB64">
        <f t="shared" si="11"/>
        <v>60.7</v>
      </c>
    </row>
    <row r="65" spans="1:28" x14ac:dyDescent="0.25">
      <c r="A65" s="17">
        <v>41446</v>
      </c>
      <c r="B65" s="16">
        <v>1010.603</v>
      </c>
      <c r="C65" s="16">
        <v>60.7</v>
      </c>
      <c r="G65" s="17"/>
      <c r="O65" s="17">
        <v>41416</v>
      </c>
      <c r="P65">
        <f t="shared" si="1"/>
        <v>2013</v>
      </c>
      <c r="Q65">
        <f t="shared" si="2"/>
        <v>5</v>
      </c>
      <c r="R65">
        <f t="shared" si="3"/>
        <v>22</v>
      </c>
      <c r="S65" t="str">
        <f t="shared" si="4"/>
        <v>2013-5-22</v>
      </c>
      <c r="T65" s="23">
        <v>138639.82</v>
      </c>
      <c r="V65" s="21">
        <f t="shared" si="5"/>
        <v>41447</v>
      </c>
      <c r="W65">
        <f t="shared" si="6"/>
        <v>2013</v>
      </c>
      <c r="X65">
        <f t="shared" si="7"/>
        <v>6</v>
      </c>
      <c r="Y65">
        <f t="shared" si="8"/>
        <v>22</v>
      </c>
      <c r="Z65" t="str">
        <f t="shared" si="9"/>
        <v>2013-6-22</v>
      </c>
      <c r="AA65">
        <f t="shared" si="10"/>
        <v>1648.173</v>
      </c>
      <c r="AB65">
        <f t="shared" si="11"/>
        <v>145</v>
      </c>
    </row>
    <row r="66" spans="1:28" x14ac:dyDescent="0.25">
      <c r="A66" s="17">
        <v>41447</v>
      </c>
      <c r="B66" s="16">
        <v>1648.173</v>
      </c>
      <c r="C66" s="16">
        <v>145</v>
      </c>
      <c r="G66" s="17"/>
      <c r="O66" s="17">
        <v>41417</v>
      </c>
      <c r="P66">
        <f t="shared" si="1"/>
        <v>2013</v>
      </c>
      <c r="Q66">
        <f t="shared" si="2"/>
        <v>5</v>
      </c>
      <c r="R66">
        <f t="shared" si="3"/>
        <v>23</v>
      </c>
      <c r="S66" t="str">
        <f t="shared" si="4"/>
        <v>2013-5-23</v>
      </c>
      <c r="T66" s="23">
        <v>138639.82</v>
      </c>
      <c r="V66" s="21">
        <f t="shared" si="5"/>
        <v>41448</v>
      </c>
      <c r="W66">
        <f t="shared" si="6"/>
        <v>2013</v>
      </c>
      <c r="X66">
        <f t="shared" si="7"/>
        <v>6</v>
      </c>
      <c r="Y66">
        <f t="shared" si="8"/>
        <v>23</v>
      </c>
      <c r="Z66" t="str">
        <f t="shared" si="9"/>
        <v>2013-6-23</v>
      </c>
      <c r="AA66">
        <f t="shared" si="10"/>
        <v>846.62099999999998</v>
      </c>
      <c r="AB66">
        <f t="shared" si="11"/>
        <v>201.2</v>
      </c>
    </row>
    <row r="67" spans="1:28" x14ac:dyDescent="0.25">
      <c r="A67" s="17">
        <v>41448</v>
      </c>
      <c r="B67" s="16">
        <v>846.62099999999998</v>
      </c>
      <c r="C67" s="16">
        <v>201.2</v>
      </c>
      <c r="G67" s="17"/>
      <c r="O67" s="17">
        <v>41418</v>
      </c>
      <c r="P67">
        <f t="shared" si="1"/>
        <v>2013</v>
      </c>
      <c r="Q67">
        <f t="shared" si="2"/>
        <v>5</v>
      </c>
      <c r="R67">
        <f t="shared" si="3"/>
        <v>24</v>
      </c>
      <c r="S67" t="str">
        <f t="shared" si="4"/>
        <v>2013-5-24</v>
      </c>
      <c r="T67" s="23">
        <v>138639.82</v>
      </c>
      <c r="V67" s="21">
        <f t="shared" si="5"/>
        <v>41449</v>
      </c>
      <c r="W67">
        <f t="shared" si="6"/>
        <v>2013</v>
      </c>
      <c r="X67">
        <f t="shared" si="7"/>
        <v>6</v>
      </c>
      <c r="Y67">
        <f t="shared" si="8"/>
        <v>24</v>
      </c>
      <c r="Z67" t="str">
        <f t="shared" si="9"/>
        <v>2013-6-24</v>
      </c>
      <c r="AA67">
        <f t="shared" si="10"/>
        <v>467.53199999999998</v>
      </c>
      <c r="AB67">
        <f t="shared" si="11"/>
        <v>128</v>
      </c>
    </row>
    <row r="68" spans="1:28" x14ac:dyDescent="0.25">
      <c r="A68" s="17">
        <v>41449</v>
      </c>
      <c r="B68" s="16">
        <v>467.53199999999998</v>
      </c>
      <c r="C68" s="16">
        <v>128</v>
      </c>
      <c r="G68" s="17"/>
      <c r="O68" s="17">
        <v>41419</v>
      </c>
      <c r="P68">
        <f t="shared" si="1"/>
        <v>2013</v>
      </c>
      <c r="Q68">
        <f t="shared" si="2"/>
        <v>5</v>
      </c>
      <c r="R68">
        <f t="shared" si="3"/>
        <v>25</v>
      </c>
      <c r="S68" t="str">
        <f t="shared" si="4"/>
        <v>2013-5-25</v>
      </c>
      <c r="T68" s="23">
        <v>138639.82</v>
      </c>
      <c r="V68" s="21">
        <f t="shared" si="5"/>
        <v>41450</v>
      </c>
      <c r="W68">
        <f t="shared" si="6"/>
        <v>2013</v>
      </c>
      <c r="X68">
        <f t="shared" si="7"/>
        <v>6</v>
      </c>
      <c r="Y68">
        <f t="shared" si="8"/>
        <v>25</v>
      </c>
      <c r="Z68" t="str">
        <f t="shared" si="9"/>
        <v>2013-6-25</v>
      </c>
      <c r="AA68">
        <f t="shared" si="10"/>
        <v>408.31299999999999</v>
      </c>
      <c r="AB68">
        <f t="shared" si="11"/>
        <v>77.3</v>
      </c>
    </row>
    <row r="69" spans="1:28" x14ac:dyDescent="0.25">
      <c r="A69" s="17">
        <v>41450</v>
      </c>
      <c r="B69" s="16">
        <v>408.31299999999999</v>
      </c>
      <c r="C69" s="16">
        <v>77.3</v>
      </c>
      <c r="G69" s="17"/>
      <c r="O69" s="17">
        <v>41420</v>
      </c>
      <c r="P69">
        <f t="shared" si="1"/>
        <v>2013</v>
      </c>
      <c r="Q69">
        <f t="shared" si="2"/>
        <v>5</v>
      </c>
      <c r="R69">
        <f t="shared" si="3"/>
        <v>26</v>
      </c>
      <c r="S69" t="str">
        <f t="shared" si="4"/>
        <v>2013-5-26</v>
      </c>
      <c r="T69" s="23">
        <v>138639.82</v>
      </c>
      <c r="V69" s="21">
        <f t="shared" si="5"/>
        <v>41451</v>
      </c>
      <c r="W69">
        <f t="shared" si="6"/>
        <v>2013</v>
      </c>
      <c r="X69">
        <f t="shared" si="7"/>
        <v>6</v>
      </c>
      <c r="Y69">
        <f t="shared" si="8"/>
        <v>26</v>
      </c>
      <c r="Z69" t="str">
        <f t="shared" si="9"/>
        <v>2013-6-26</v>
      </c>
      <c r="AA69">
        <f t="shared" si="10"/>
        <v>265.33</v>
      </c>
      <c r="AB69">
        <f t="shared" si="11"/>
        <v>56.5</v>
      </c>
    </row>
    <row r="70" spans="1:28" x14ac:dyDescent="0.25">
      <c r="A70" s="17">
        <v>41451</v>
      </c>
      <c r="B70" s="16">
        <v>265.33</v>
      </c>
      <c r="C70" s="16">
        <v>56.5</v>
      </c>
      <c r="G70" s="17"/>
      <c r="O70" s="17">
        <v>41421</v>
      </c>
      <c r="P70">
        <f t="shared" si="1"/>
        <v>2013</v>
      </c>
      <c r="Q70">
        <f t="shared" si="2"/>
        <v>5</v>
      </c>
      <c r="R70">
        <f t="shared" si="3"/>
        <v>27</v>
      </c>
      <c r="S70" t="str">
        <f t="shared" si="4"/>
        <v>2013-5-27</v>
      </c>
      <c r="T70" s="23">
        <v>138639.82</v>
      </c>
      <c r="V70" s="21">
        <f t="shared" si="5"/>
        <v>41452</v>
      </c>
      <c r="W70">
        <f t="shared" si="6"/>
        <v>2013</v>
      </c>
      <c r="X70">
        <f t="shared" si="7"/>
        <v>6</v>
      </c>
      <c r="Y70">
        <f t="shared" si="8"/>
        <v>27</v>
      </c>
      <c r="Z70" t="str">
        <f t="shared" si="9"/>
        <v>2013-6-27</v>
      </c>
      <c r="AA70">
        <f t="shared" si="10"/>
        <v>269.59800000000001</v>
      </c>
      <c r="AB70">
        <f t="shared" si="11"/>
        <v>44.5</v>
      </c>
    </row>
    <row r="71" spans="1:28" x14ac:dyDescent="0.25">
      <c r="A71" s="17">
        <v>41452</v>
      </c>
      <c r="B71" s="16">
        <v>269.59800000000001</v>
      </c>
      <c r="C71" s="16">
        <v>44.5</v>
      </c>
      <c r="G71" s="17"/>
      <c r="O71" s="17">
        <v>41422</v>
      </c>
      <c r="P71">
        <f t="shared" si="1"/>
        <v>2013</v>
      </c>
      <c r="Q71">
        <f t="shared" si="2"/>
        <v>5</v>
      </c>
      <c r="R71">
        <f t="shared" si="3"/>
        <v>28</v>
      </c>
      <c r="S71" t="str">
        <f t="shared" si="4"/>
        <v>2013-5-28</v>
      </c>
      <c r="T71" s="23">
        <v>138639.82</v>
      </c>
      <c r="V71" s="21">
        <f t="shared" si="5"/>
        <v>41453</v>
      </c>
      <c r="W71">
        <f t="shared" si="6"/>
        <v>2013</v>
      </c>
      <c r="X71">
        <f t="shared" si="7"/>
        <v>6</v>
      </c>
      <c r="Y71">
        <f t="shared" si="8"/>
        <v>28</v>
      </c>
      <c r="Z71" t="str">
        <f t="shared" si="9"/>
        <v>2013-6-28</v>
      </c>
      <c r="AA71">
        <f t="shared" si="10"/>
        <v>222.21600000000001</v>
      </c>
      <c r="AB71">
        <f t="shared" si="11"/>
        <v>35.1</v>
      </c>
    </row>
    <row r="72" spans="1:28" x14ac:dyDescent="0.25">
      <c r="A72" s="17">
        <v>41453</v>
      </c>
      <c r="B72" s="16">
        <v>222.21600000000001</v>
      </c>
      <c r="C72" s="16">
        <v>35.1</v>
      </c>
      <c r="G72" s="17"/>
      <c r="O72" s="17">
        <v>41423</v>
      </c>
      <c r="P72">
        <f t="shared" si="1"/>
        <v>2013</v>
      </c>
      <c r="Q72">
        <f t="shared" si="2"/>
        <v>5</v>
      </c>
      <c r="R72">
        <f t="shared" si="3"/>
        <v>29</v>
      </c>
      <c r="S72" t="str">
        <f t="shared" si="4"/>
        <v>2013-5-29</v>
      </c>
      <c r="T72" s="23">
        <v>138639.82</v>
      </c>
      <c r="V72" s="21">
        <f t="shared" si="5"/>
        <v>41454</v>
      </c>
      <c r="W72">
        <f t="shared" si="6"/>
        <v>2013</v>
      </c>
      <c r="X72">
        <f t="shared" si="7"/>
        <v>6</v>
      </c>
      <c r="Y72">
        <f t="shared" si="8"/>
        <v>29</v>
      </c>
      <c r="Z72" t="str">
        <f t="shared" si="9"/>
        <v>2013-6-29</v>
      </c>
      <c r="AA72">
        <f t="shared" si="10"/>
        <v>184.6</v>
      </c>
      <c r="AB72">
        <f t="shared" si="11"/>
        <v>29.1</v>
      </c>
    </row>
    <row r="73" spans="1:28" x14ac:dyDescent="0.25">
      <c r="A73" s="17">
        <v>41454</v>
      </c>
      <c r="B73" s="16">
        <v>184.6</v>
      </c>
      <c r="C73" s="16">
        <v>29.1</v>
      </c>
      <c r="G73" s="17"/>
      <c r="O73" s="17">
        <v>41424</v>
      </c>
      <c r="P73">
        <f t="shared" si="1"/>
        <v>2013</v>
      </c>
      <c r="Q73">
        <f t="shared" si="2"/>
        <v>5</v>
      </c>
      <c r="R73">
        <f t="shared" si="3"/>
        <v>30</v>
      </c>
      <c r="S73" t="str">
        <f t="shared" si="4"/>
        <v>2013-5-30</v>
      </c>
      <c r="T73" s="23">
        <v>138639.82</v>
      </c>
      <c r="V73" s="21">
        <f t="shared" si="5"/>
        <v>41455</v>
      </c>
      <c r="W73">
        <f t="shared" si="6"/>
        <v>2013</v>
      </c>
      <c r="X73">
        <f t="shared" si="7"/>
        <v>6</v>
      </c>
      <c r="Y73">
        <f t="shared" si="8"/>
        <v>30</v>
      </c>
      <c r="Z73" t="str">
        <f t="shared" si="9"/>
        <v>2013-6-30</v>
      </c>
      <c r="AA73">
        <f t="shared" si="10"/>
        <v>187.04599999999999</v>
      </c>
      <c r="AB73">
        <f t="shared" si="11"/>
        <v>31.8</v>
      </c>
    </row>
    <row r="74" spans="1:28" x14ac:dyDescent="0.25">
      <c r="A74" s="17">
        <v>41455</v>
      </c>
      <c r="B74" s="16">
        <v>187.04599999999999</v>
      </c>
      <c r="C74" s="16">
        <v>31.8</v>
      </c>
      <c r="G74" s="17"/>
      <c r="O74" s="17">
        <v>41425</v>
      </c>
      <c r="P74">
        <f t="shared" si="1"/>
        <v>2013</v>
      </c>
      <c r="Q74">
        <f t="shared" si="2"/>
        <v>5</v>
      </c>
      <c r="R74">
        <f t="shared" si="3"/>
        <v>31</v>
      </c>
      <c r="S74" t="str">
        <f t="shared" si="4"/>
        <v>2013-5-31</v>
      </c>
      <c r="T74" s="23">
        <v>138639.82</v>
      </c>
      <c r="V74" s="21">
        <f t="shared" si="5"/>
        <v>41456</v>
      </c>
      <c r="W74">
        <f t="shared" si="6"/>
        <v>2013</v>
      </c>
      <c r="X74">
        <f t="shared" si="7"/>
        <v>7</v>
      </c>
      <c r="Y74">
        <f t="shared" si="8"/>
        <v>1</v>
      </c>
      <c r="Z74" t="str">
        <f t="shared" si="9"/>
        <v>2013-7-1</v>
      </c>
      <c r="AA74">
        <f t="shared" si="10"/>
        <v>181.762</v>
      </c>
      <c r="AB74">
        <f t="shared" si="11"/>
        <v>32.799999999999997</v>
      </c>
    </row>
    <row r="75" spans="1:28" x14ac:dyDescent="0.25">
      <c r="A75" s="17">
        <v>41456</v>
      </c>
      <c r="B75" s="16">
        <v>181.762</v>
      </c>
      <c r="C75" s="16">
        <v>32.799999999999997</v>
      </c>
      <c r="G75" s="17"/>
      <c r="O75" s="17">
        <v>41426</v>
      </c>
      <c r="P75">
        <f t="shared" si="1"/>
        <v>2013</v>
      </c>
      <c r="Q75">
        <f t="shared" si="2"/>
        <v>6</v>
      </c>
      <c r="R75">
        <f t="shared" si="3"/>
        <v>1</v>
      </c>
      <c r="S75" t="str">
        <f t="shared" si="4"/>
        <v>2013-6-1</v>
      </c>
      <c r="T75" s="23">
        <v>138639.82</v>
      </c>
      <c r="V75" s="21">
        <f t="shared" si="5"/>
        <v>41457</v>
      </c>
      <c r="W75">
        <f t="shared" si="6"/>
        <v>2013</v>
      </c>
      <c r="X75">
        <f t="shared" si="7"/>
        <v>7</v>
      </c>
      <c r="Y75">
        <f t="shared" si="8"/>
        <v>2</v>
      </c>
      <c r="Z75" t="str">
        <f t="shared" si="9"/>
        <v>2013-7-2</v>
      </c>
      <c r="AA75">
        <f t="shared" si="10"/>
        <v>172.13900000000001</v>
      </c>
      <c r="AB75">
        <f t="shared" si="11"/>
        <v>25.9</v>
      </c>
    </row>
    <row r="76" spans="1:28" x14ac:dyDescent="0.25">
      <c r="A76" s="17">
        <v>41457</v>
      </c>
      <c r="B76" s="16">
        <v>172.13900000000001</v>
      </c>
      <c r="C76" s="16">
        <v>25.9</v>
      </c>
      <c r="G76" s="17"/>
      <c r="O76" s="17">
        <v>41427</v>
      </c>
      <c r="P76">
        <f t="shared" si="1"/>
        <v>2013</v>
      </c>
      <c r="Q76">
        <f t="shared" si="2"/>
        <v>6</v>
      </c>
      <c r="R76">
        <f t="shared" si="3"/>
        <v>2</v>
      </c>
      <c r="S76" t="str">
        <f t="shared" si="4"/>
        <v>2013-6-2</v>
      </c>
      <c r="T76" s="23">
        <v>138639.82</v>
      </c>
      <c r="V76" s="21">
        <f t="shared" si="5"/>
        <v>41458</v>
      </c>
      <c r="W76">
        <f t="shared" si="6"/>
        <v>2013</v>
      </c>
      <c r="X76">
        <f t="shared" si="7"/>
        <v>7</v>
      </c>
      <c r="Y76">
        <f t="shared" si="8"/>
        <v>3</v>
      </c>
      <c r="Z76" t="str">
        <f t="shared" si="9"/>
        <v>2013-7-3</v>
      </c>
      <c r="AA76">
        <f t="shared" si="10"/>
        <v>159.81200000000001</v>
      </c>
      <c r="AB76">
        <f t="shared" si="11"/>
        <v>21.5</v>
      </c>
    </row>
    <row r="77" spans="1:28" x14ac:dyDescent="0.25">
      <c r="A77" s="17">
        <v>41458</v>
      </c>
      <c r="B77" s="16">
        <v>159.81200000000001</v>
      </c>
      <c r="C77" s="16">
        <v>21.5</v>
      </c>
      <c r="G77" s="17"/>
      <c r="O77" s="17">
        <v>41428</v>
      </c>
      <c r="P77">
        <f t="shared" si="1"/>
        <v>2013</v>
      </c>
      <c r="Q77">
        <f t="shared" si="2"/>
        <v>6</v>
      </c>
      <c r="R77">
        <f t="shared" si="3"/>
        <v>3</v>
      </c>
      <c r="S77" t="str">
        <f t="shared" si="4"/>
        <v>2013-6-3</v>
      </c>
      <c r="T77" s="23">
        <v>138639.82</v>
      </c>
      <c r="V77" s="21">
        <f t="shared" si="5"/>
        <v>41459</v>
      </c>
      <c r="W77">
        <f t="shared" si="6"/>
        <v>2013</v>
      </c>
      <c r="X77">
        <f t="shared" si="7"/>
        <v>7</v>
      </c>
      <c r="Y77">
        <f t="shared" si="8"/>
        <v>4</v>
      </c>
      <c r="Z77" t="str">
        <f t="shared" si="9"/>
        <v>2013-7-4</v>
      </c>
      <c r="AA77">
        <f t="shared" si="10"/>
        <v>155.53399999999999</v>
      </c>
      <c r="AB77">
        <f t="shared" si="11"/>
        <v>18.399999999999999</v>
      </c>
    </row>
    <row r="78" spans="1:28" x14ac:dyDescent="0.25">
      <c r="A78" s="17">
        <v>41459</v>
      </c>
      <c r="B78" s="16">
        <v>155.53399999999999</v>
      </c>
      <c r="C78" s="16">
        <v>18.399999999999999</v>
      </c>
      <c r="G78" s="17"/>
      <c r="O78" s="17">
        <v>41429</v>
      </c>
      <c r="P78">
        <f t="shared" ref="P78:P141" si="12">IF(MONTH($O78)&gt;=10, YEAR($O78)+1, YEAR($O78))</f>
        <v>2013</v>
      </c>
      <c r="Q78">
        <f t="shared" ref="Q78:Q141" si="13">MONTH(O78)</f>
        <v>6</v>
      </c>
      <c r="R78">
        <f t="shared" ref="R78:R141" si="14">DAY(O78)</f>
        <v>4</v>
      </c>
      <c r="S78" t="str">
        <f t="shared" ref="S78:S141" si="15">P78&amp;"-"&amp;Q78&amp;"-"&amp;R78</f>
        <v>2013-6-4</v>
      </c>
      <c r="T78" s="23">
        <v>138639.82</v>
      </c>
      <c r="V78" s="21">
        <f t="shared" ref="V78:V118" si="16">A79</f>
        <v>41460</v>
      </c>
      <c r="W78">
        <f t="shared" ref="W78:W118" si="17">IF(MONTH($V78)&gt;=10, YEAR($V78)+1, YEAR($V78))</f>
        <v>2013</v>
      </c>
      <c r="X78">
        <f t="shared" ref="X78:X118" si="18">MONTH(V78)</f>
        <v>7</v>
      </c>
      <c r="Y78">
        <f t="shared" ref="Y78:Y118" si="19">DAY(V78)</f>
        <v>5</v>
      </c>
      <c r="Z78" t="str">
        <f t="shared" ref="Z78:Z118" si="20">W78&amp;"-"&amp;X78&amp;"-"&amp;Y78</f>
        <v>2013-7-5</v>
      </c>
      <c r="AA78">
        <f t="shared" ref="AA78:AA118" si="21">B79</f>
        <v>144.511</v>
      </c>
      <c r="AB78">
        <f t="shared" ref="AB78:AB118" si="22">C79</f>
        <v>16.600000000000001</v>
      </c>
    </row>
    <row r="79" spans="1:28" x14ac:dyDescent="0.25">
      <c r="A79" s="17">
        <v>41460</v>
      </c>
      <c r="B79" s="16">
        <v>144.511</v>
      </c>
      <c r="C79" s="16">
        <v>16.600000000000001</v>
      </c>
      <c r="G79" s="17"/>
      <c r="O79" s="17">
        <v>41430</v>
      </c>
      <c r="P79">
        <f t="shared" si="12"/>
        <v>2013</v>
      </c>
      <c r="Q79">
        <f t="shared" si="13"/>
        <v>6</v>
      </c>
      <c r="R79">
        <f t="shared" si="14"/>
        <v>5</v>
      </c>
      <c r="S79" t="str">
        <f t="shared" si="15"/>
        <v>2013-6-5</v>
      </c>
      <c r="T79" s="23">
        <v>138639.82</v>
      </c>
      <c r="V79" s="21">
        <f t="shared" si="16"/>
        <v>41461</v>
      </c>
      <c r="W79">
        <f t="shared" si="17"/>
        <v>2013</v>
      </c>
      <c r="X79">
        <f t="shared" si="18"/>
        <v>7</v>
      </c>
      <c r="Y79">
        <f t="shared" si="19"/>
        <v>6</v>
      </c>
      <c r="Z79" t="str">
        <f t="shared" si="20"/>
        <v>2013-7-6</v>
      </c>
      <c r="AA79">
        <f t="shared" si="21"/>
        <v>130.82499999999999</v>
      </c>
      <c r="AB79">
        <f t="shared" si="22"/>
        <v>16.399999999999999</v>
      </c>
    </row>
    <row r="80" spans="1:28" x14ac:dyDescent="0.25">
      <c r="A80" s="17">
        <v>41461</v>
      </c>
      <c r="B80" s="16">
        <v>130.82499999999999</v>
      </c>
      <c r="C80" s="16">
        <v>16.399999999999999</v>
      </c>
      <c r="G80" s="17"/>
      <c r="O80" s="17">
        <v>41431</v>
      </c>
      <c r="P80">
        <f t="shared" si="12"/>
        <v>2013</v>
      </c>
      <c r="Q80">
        <f t="shared" si="13"/>
        <v>6</v>
      </c>
      <c r="R80">
        <f t="shared" si="14"/>
        <v>6</v>
      </c>
      <c r="S80" t="str">
        <f t="shared" si="15"/>
        <v>2013-6-6</v>
      </c>
      <c r="T80" s="23">
        <v>138639.82</v>
      </c>
      <c r="V80" s="21">
        <f t="shared" si="16"/>
        <v>41462</v>
      </c>
      <c r="W80">
        <f t="shared" si="17"/>
        <v>2013</v>
      </c>
      <c r="X80">
        <f t="shared" si="18"/>
        <v>7</v>
      </c>
      <c r="Y80">
        <f t="shared" si="19"/>
        <v>7</v>
      </c>
      <c r="Z80" t="str">
        <f t="shared" si="20"/>
        <v>2013-7-7</v>
      </c>
      <c r="AA80">
        <f t="shared" si="21"/>
        <v>106.83199999999999</v>
      </c>
      <c r="AB80">
        <f t="shared" si="22"/>
        <v>21.8</v>
      </c>
    </row>
    <row r="81" spans="1:28" x14ac:dyDescent="0.25">
      <c r="A81" s="17">
        <v>41462</v>
      </c>
      <c r="B81" s="16">
        <v>106.83199999999999</v>
      </c>
      <c r="C81" s="16">
        <v>21.8</v>
      </c>
      <c r="G81" s="17"/>
      <c r="O81" s="17">
        <v>41432</v>
      </c>
      <c r="P81">
        <f t="shared" si="12"/>
        <v>2013</v>
      </c>
      <c r="Q81">
        <f t="shared" si="13"/>
        <v>6</v>
      </c>
      <c r="R81">
        <f t="shared" si="14"/>
        <v>7</v>
      </c>
      <c r="S81" t="str">
        <f t="shared" si="15"/>
        <v>2013-6-7</v>
      </c>
      <c r="T81" s="23">
        <v>138639.82</v>
      </c>
      <c r="V81" s="21">
        <f t="shared" si="16"/>
        <v>41463</v>
      </c>
      <c r="W81">
        <f t="shared" si="17"/>
        <v>2013</v>
      </c>
      <c r="X81">
        <f t="shared" si="18"/>
        <v>7</v>
      </c>
      <c r="Y81">
        <f t="shared" si="19"/>
        <v>8</v>
      </c>
      <c r="Z81" t="str">
        <f t="shared" si="20"/>
        <v>2013-7-8</v>
      </c>
      <c r="AA81">
        <f t="shared" si="21"/>
        <v>103.01600000000001</v>
      </c>
      <c r="AB81">
        <f t="shared" si="22"/>
        <v>24.4</v>
      </c>
    </row>
    <row r="82" spans="1:28" x14ac:dyDescent="0.25">
      <c r="A82" s="17">
        <v>41463</v>
      </c>
      <c r="B82" s="16">
        <v>103.01600000000001</v>
      </c>
      <c r="C82" s="16">
        <v>24.4</v>
      </c>
      <c r="G82" s="17"/>
      <c r="O82" s="17">
        <v>41433</v>
      </c>
      <c r="P82">
        <f t="shared" si="12"/>
        <v>2013</v>
      </c>
      <c r="Q82">
        <f t="shared" si="13"/>
        <v>6</v>
      </c>
      <c r="R82">
        <f t="shared" si="14"/>
        <v>8</v>
      </c>
      <c r="S82" t="str">
        <f t="shared" si="15"/>
        <v>2013-6-8</v>
      </c>
      <c r="T82" s="23">
        <v>138639.82</v>
      </c>
      <c r="V82" s="21">
        <f t="shared" si="16"/>
        <v>41464</v>
      </c>
      <c r="W82">
        <f t="shared" si="17"/>
        <v>2013</v>
      </c>
      <c r="X82">
        <f t="shared" si="18"/>
        <v>7</v>
      </c>
      <c r="Y82">
        <f t="shared" si="19"/>
        <v>9</v>
      </c>
      <c r="Z82" t="str">
        <f t="shared" si="20"/>
        <v>2013-7-9</v>
      </c>
      <c r="AA82">
        <f t="shared" si="21"/>
        <v>93.703999999999994</v>
      </c>
      <c r="AB82">
        <f t="shared" si="22"/>
        <v>21.9</v>
      </c>
    </row>
    <row r="83" spans="1:28" x14ac:dyDescent="0.25">
      <c r="A83" s="17">
        <v>41464</v>
      </c>
      <c r="B83" s="16">
        <v>93.703999999999994</v>
      </c>
      <c r="C83" s="16">
        <v>21.9</v>
      </c>
      <c r="G83" s="17"/>
      <c r="O83" s="17">
        <v>41434</v>
      </c>
      <c r="P83">
        <f t="shared" si="12"/>
        <v>2013</v>
      </c>
      <c r="Q83">
        <f t="shared" si="13"/>
        <v>6</v>
      </c>
      <c r="R83">
        <f t="shared" si="14"/>
        <v>9</v>
      </c>
      <c r="S83" t="str">
        <f t="shared" si="15"/>
        <v>2013-6-9</v>
      </c>
      <c r="T83" s="23">
        <v>138639.82</v>
      </c>
      <c r="V83" s="21">
        <f t="shared" si="16"/>
        <v>41465</v>
      </c>
      <c r="W83">
        <f t="shared" si="17"/>
        <v>2013</v>
      </c>
      <c r="X83">
        <f t="shared" si="18"/>
        <v>7</v>
      </c>
      <c r="Y83">
        <f t="shared" si="19"/>
        <v>10</v>
      </c>
      <c r="Z83" t="str">
        <f t="shared" si="20"/>
        <v>2013-7-10</v>
      </c>
      <c r="AA83">
        <f t="shared" si="21"/>
        <v>96.516999999999996</v>
      </c>
      <c r="AB83">
        <f t="shared" si="22"/>
        <v>24.6</v>
      </c>
    </row>
    <row r="84" spans="1:28" x14ac:dyDescent="0.25">
      <c r="A84" s="17">
        <v>41465</v>
      </c>
      <c r="B84" s="16">
        <v>96.516999999999996</v>
      </c>
      <c r="C84" s="16">
        <v>24.6</v>
      </c>
      <c r="G84" s="17"/>
      <c r="O84" s="17">
        <v>41435</v>
      </c>
      <c r="P84">
        <f t="shared" si="12"/>
        <v>2013</v>
      </c>
      <c r="Q84">
        <f t="shared" si="13"/>
        <v>6</v>
      </c>
      <c r="R84">
        <f t="shared" si="14"/>
        <v>10</v>
      </c>
      <c r="S84" t="str">
        <f t="shared" si="15"/>
        <v>2013-6-10</v>
      </c>
      <c r="T84" s="23">
        <v>138639.82</v>
      </c>
      <c r="V84" s="21">
        <f t="shared" si="16"/>
        <v>41466</v>
      </c>
      <c r="W84">
        <f t="shared" si="17"/>
        <v>2013</v>
      </c>
      <c r="X84">
        <f t="shared" si="18"/>
        <v>7</v>
      </c>
      <c r="Y84">
        <f t="shared" si="19"/>
        <v>11</v>
      </c>
      <c r="Z84" t="str">
        <f t="shared" si="20"/>
        <v>2013-7-11</v>
      </c>
      <c r="AA84">
        <f t="shared" si="21"/>
        <v>85.186000000000007</v>
      </c>
      <c r="AB84">
        <f t="shared" si="22"/>
        <v>20.8</v>
      </c>
    </row>
    <row r="85" spans="1:28" x14ac:dyDescent="0.25">
      <c r="A85" s="17">
        <v>41466</v>
      </c>
      <c r="B85" s="16">
        <v>85.186000000000007</v>
      </c>
      <c r="C85" s="16">
        <v>20.8</v>
      </c>
      <c r="G85" s="17"/>
      <c r="O85" s="17">
        <v>41436</v>
      </c>
      <c r="P85">
        <f t="shared" si="12"/>
        <v>2013</v>
      </c>
      <c r="Q85">
        <f t="shared" si="13"/>
        <v>6</v>
      </c>
      <c r="R85">
        <f t="shared" si="14"/>
        <v>11</v>
      </c>
      <c r="S85" t="str">
        <f t="shared" si="15"/>
        <v>2013-6-11</v>
      </c>
      <c r="T85" s="23">
        <v>138639.82</v>
      </c>
      <c r="V85" s="21">
        <f t="shared" si="16"/>
        <v>41467</v>
      </c>
      <c r="W85">
        <f t="shared" si="17"/>
        <v>2013</v>
      </c>
      <c r="X85">
        <f t="shared" si="18"/>
        <v>7</v>
      </c>
      <c r="Y85">
        <f t="shared" si="19"/>
        <v>12</v>
      </c>
      <c r="Z85" t="str">
        <f t="shared" si="20"/>
        <v>2013-7-12</v>
      </c>
      <c r="AA85">
        <f t="shared" si="21"/>
        <v>77.093999999999994</v>
      </c>
      <c r="AB85">
        <f t="shared" si="22"/>
        <v>17</v>
      </c>
    </row>
    <row r="86" spans="1:28" x14ac:dyDescent="0.25">
      <c r="A86" s="17">
        <v>41467</v>
      </c>
      <c r="B86" s="16">
        <v>77.093999999999994</v>
      </c>
      <c r="C86" s="16">
        <v>17</v>
      </c>
      <c r="G86" s="17"/>
      <c r="O86" s="17">
        <v>41437</v>
      </c>
      <c r="P86">
        <f t="shared" si="12"/>
        <v>2013</v>
      </c>
      <c r="Q86">
        <f t="shared" si="13"/>
        <v>6</v>
      </c>
      <c r="R86">
        <f t="shared" si="14"/>
        <v>12</v>
      </c>
      <c r="S86" t="str">
        <f t="shared" si="15"/>
        <v>2013-6-12</v>
      </c>
      <c r="T86" s="23">
        <v>138639.82</v>
      </c>
      <c r="V86" s="21">
        <f t="shared" si="16"/>
        <v>41468</v>
      </c>
      <c r="W86">
        <f t="shared" si="17"/>
        <v>2013</v>
      </c>
      <c r="X86">
        <f t="shared" si="18"/>
        <v>7</v>
      </c>
      <c r="Y86">
        <f t="shared" si="19"/>
        <v>13</v>
      </c>
      <c r="Z86" t="str">
        <f t="shared" si="20"/>
        <v>2013-7-13</v>
      </c>
      <c r="AA86">
        <f t="shared" si="21"/>
        <v>75.519000000000005</v>
      </c>
      <c r="AB86">
        <f t="shared" si="22"/>
        <v>14.8</v>
      </c>
    </row>
    <row r="87" spans="1:28" x14ac:dyDescent="0.25">
      <c r="A87" s="17">
        <v>41468</v>
      </c>
      <c r="B87" s="16">
        <v>75.519000000000005</v>
      </c>
      <c r="C87" s="16">
        <v>14.8</v>
      </c>
      <c r="G87" s="17"/>
      <c r="O87" s="17">
        <v>41438</v>
      </c>
      <c r="P87">
        <f t="shared" si="12"/>
        <v>2013</v>
      </c>
      <c r="Q87">
        <f t="shared" si="13"/>
        <v>6</v>
      </c>
      <c r="R87">
        <f t="shared" si="14"/>
        <v>13</v>
      </c>
      <c r="S87" t="str">
        <f t="shared" si="15"/>
        <v>2013-6-13</v>
      </c>
      <c r="T87" s="23">
        <v>138639.82</v>
      </c>
      <c r="V87" s="21">
        <f t="shared" si="16"/>
        <v>41469</v>
      </c>
      <c r="W87">
        <f t="shared" si="17"/>
        <v>2013</v>
      </c>
      <c r="X87">
        <f t="shared" si="18"/>
        <v>7</v>
      </c>
      <c r="Y87">
        <f t="shared" si="19"/>
        <v>14</v>
      </c>
      <c r="Z87" t="str">
        <f t="shared" si="20"/>
        <v>2013-7-14</v>
      </c>
      <c r="AA87">
        <f t="shared" si="21"/>
        <v>67.962999999999994</v>
      </c>
      <c r="AB87">
        <f t="shared" si="22"/>
        <v>13.4</v>
      </c>
    </row>
    <row r="88" spans="1:28" x14ac:dyDescent="0.25">
      <c r="A88" s="17">
        <v>41469</v>
      </c>
      <c r="B88" s="16">
        <v>67.962999999999994</v>
      </c>
      <c r="C88" s="16">
        <v>13.4</v>
      </c>
      <c r="G88" s="17"/>
      <c r="O88" s="17">
        <v>41439</v>
      </c>
      <c r="P88">
        <f t="shared" si="12"/>
        <v>2013</v>
      </c>
      <c r="Q88">
        <f t="shared" si="13"/>
        <v>6</v>
      </c>
      <c r="R88">
        <f t="shared" si="14"/>
        <v>14</v>
      </c>
      <c r="S88" t="str">
        <f t="shared" si="15"/>
        <v>2013-6-14</v>
      </c>
      <c r="T88" s="23">
        <v>138639.82</v>
      </c>
      <c r="V88" s="21">
        <f t="shared" si="16"/>
        <v>41470</v>
      </c>
      <c r="W88">
        <f t="shared" si="17"/>
        <v>2013</v>
      </c>
      <c r="X88">
        <f t="shared" si="18"/>
        <v>7</v>
      </c>
      <c r="Y88">
        <f t="shared" si="19"/>
        <v>15</v>
      </c>
      <c r="Z88" t="str">
        <f t="shared" si="20"/>
        <v>2013-7-15</v>
      </c>
      <c r="AA88">
        <f t="shared" si="21"/>
        <v>66.816999999999993</v>
      </c>
      <c r="AB88">
        <f t="shared" si="22"/>
        <v>14.1</v>
      </c>
    </row>
    <row r="89" spans="1:28" x14ac:dyDescent="0.25">
      <c r="A89" s="17">
        <v>41470</v>
      </c>
      <c r="B89" s="16">
        <v>66.816999999999993</v>
      </c>
      <c r="C89" s="16">
        <v>14.1</v>
      </c>
      <c r="G89" s="17"/>
      <c r="O89" s="17">
        <v>41440</v>
      </c>
      <c r="P89">
        <f t="shared" si="12"/>
        <v>2013</v>
      </c>
      <c r="Q89">
        <f t="shared" si="13"/>
        <v>6</v>
      </c>
      <c r="R89">
        <f t="shared" si="14"/>
        <v>15</v>
      </c>
      <c r="S89" t="str">
        <f t="shared" si="15"/>
        <v>2013-6-15</v>
      </c>
      <c r="T89" s="23">
        <v>138639.82</v>
      </c>
      <c r="V89" s="21">
        <f t="shared" si="16"/>
        <v>41471</v>
      </c>
      <c r="W89">
        <f t="shared" si="17"/>
        <v>2013</v>
      </c>
      <c r="X89">
        <f t="shared" si="18"/>
        <v>7</v>
      </c>
      <c r="Y89">
        <f t="shared" si="19"/>
        <v>16</v>
      </c>
      <c r="Z89" t="str">
        <f t="shared" si="20"/>
        <v>2013-7-16</v>
      </c>
      <c r="AA89">
        <f t="shared" si="21"/>
        <v>70.879000000000005</v>
      </c>
      <c r="AB89">
        <f t="shared" si="22"/>
        <v>14</v>
      </c>
    </row>
    <row r="90" spans="1:28" x14ac:dyDescent="0.25">
      <c r="A90" s="17">
        <v>41471</v>
      </c>
      <c r="B90" s="16">
        <v>70.879000000000005</v>
      </c>
      <c r="C90" s="16">
        <v>14</v>
      </c>
      <c r="G90" s="17"/>
      <c r="O90" s="17">
        <v>41441</v>
      </c>
      <c r="P90">
        <f t="shared" si="12"/>
        <v>2013</v>
      </c>
      <c r="Q90">
        <f t="shared" si="13"/>
        <v>6</v>
      </c>
      <c r="R90">
        <f t="shared" si="14"/>
        <v>16</v>
      </c>
      <c r="S90" t="str">
        <f t="shared" si="15"/>
        <v>2013-6-16</v>
      </c>
      <c r="T90" s="23">
        <v>138639.82</v>
      </c>
      <c r="V90" s="21">
        <f t="shared" si="16"/>
        <v>41472</v>
      </c>
      <c r="W90">
        <f t="shared" si="17"/>
        <v>2013</v>
      </c>
      <c r="X90">
        <f t="shared" si="18"/>
        <v>7</v>
      </c>
      <c r="Y90">
        <f t="shared" si="19"/>
        <v>17</v>
      </c>
      <c r="Z90" t="str">
        <f t="shared" si="20"/>
        <v>2013-7-17</v>
      </c>
      <c r="AA90">
        <f t="shared" si="21"/>
        <v>66.432000000000002</v>
      </c>
      <c r="AB90">
        <f t="shared" si="22"/>
        <v>14.1</v>
      </c>
    </row>
    <row r="91" spans="1:28" x14ac:dyDescent="0.25">
      <c r="A91" s="17">
        <v>41472</v>
      </c>
      <c r="B91" s="16">
        <v>66.432000000000002</v>
      </c>
      <c r="C91" s="16">
        <v>14.1</v>
      </c>
      <c r="G91" s="17"/>
      <c r="O91" s="17">
        <v>41442</v>
      </c>
      <c r="P91">
        <f t="shared" si="12"/>
        <v>2013</v>
      </c>
      <c r="Q91">
        <f t="shared" si="13"/>
        <v>6</v>
      </c>
      <c r="R91">
        <f t="shared" si="14"/>
        <v>17</v>
      </c>
      <c r="S91" t="str">
        <f t="shared" si="15"/>
        <v>2013-6-17</v>
      </c>
      <c r="T91" s="23">
        <v>138639.82</v>
      </c>
      <c r="V91" s="21">
        <f t="shared" si="16"/>
        <v>41473</v>
      </c>
      <c r="W91">
        <f t="shared" si="17"/>
        <v>2013</v>
      </c>
      <c r="X91">
        <f t="shared" si="18"/>
        <v>7</v>
      </c>
      <c r="Y91">
        <f t="shared" si="19"/>
        <v>18</v>
      </c>
      <c r="Z91" t="str">
        <f t="shared" si="20"/>
        <v>2013-7-18</v>
      </c>
      <c r="AA91">
        <f t="shared" si="21"/>
        <v>64.221000000000004</v>
      </c>
      <c r="AB91">
        <f t="shared" si="22"/>
        <v>12.4</v>
      </c>
    </row>
    <row r="92" spans="1:28" x14ac:dyDescent="0.25">
      <c r="A92" s="17">
        <v>41473</v>
      </c>
      <c r="B92" s="16">
        <v>64.221000000000004</v>
      </c>
      <c r="C92" s="16">
        <v>12.4</v>
      </c>
      <c r="G92" s="17"/>
      <c r="O92" s="17">
        <v>41443</v>
      </c>
      <c r="P92">
        <f t="shared" si="12"/>
        <v>2013</v>
      </c>
      <c r="Q92">
        <f t="shared" si="13"/>
        <v>6</v>
      </c>
      <c r="R92">
        <f t="shared" si="14"/>
        <v>18</v>
      </c>
      <c r="S92" t="str">
        <f t="shared" si="15"/>
        <v>2013-6-18</v>
      </c>
      <c r="T92" s="23">
        <v>138639.82</v>
      </c>
      <c r="V92" s="21">
        <f t="shared" si="16"/>
        <v>41474</v>
      </c>
      <c r="W92">
        <f t="shared" si="17"/>
        <v>2013</v>
      </c>
      <c r="X92">
        <f t="shared" si="18"/>
        <v>7</v>
      </c>
      <c r="Y92">
        <f t="shared" si="19"/>
        <v>19</v>
      </c>
      <c r="Z92" t="str">
        <f t="shared" si="20"/>
        <v>2013-7-19</v>
      </c>
      <c r="AA92">
        <f t="shared" si="21"/>
        <v>60.087000000000003</v>
      </c>
      <c r="AB92">
        <f t="shared" si="22"/>
        <v>11.1</v>
      </c>
    </row>
    <row r="93" spans="1:28" x14ac:dyDescent="0.25">
      <c r="A93" s="17">
        <v>41474</v>
      </c>
      <c r="B93" s="16">
        <v>60.087000000000003</v>
      </c>
      <c r="C93" s="16">
        <v>11.1</v>
      </c>
      <c r="G93" s="17"/>
      <c r="O93" s="17">
        <v>41444</v>
      </c>
      <c r="P93">
        <f t="shared" si="12"/>
        <v>2013</v>
      </c>
      <c r="Q93">
        <f t="shared" si="13"/>
        <v>6</v>
      </c>
      <c r="R93">
        <f t="shared" si="14"/>
        <v>19</v>
      </c>
      <c r="S93" t="str">
        <f t="shared" si="15"/>
        <v>2013-6-19</v>
      </c>
      <c r="T93" s="23">
        <v>138639.82</v>
      </c>
      <c r="V93" s="21">
        <f t="shared" si="16"/>
        <v>41475</v>
      </c>
      <c r="W93">
        <f t="shared" si="17"/>
        <v>2013</v>
      </c>
      <c r="X93">
        <f t="shared" si="18"/>
        <v>7</v>
      </c>
      <c r="Y93">
        <f t="shared" si="19"/>
        <v>20</v>
      </c>
      <c r="Z93" t="str">
        <f t="shared" si="20"/>
        <v>2013-7-20</v>
      </c>
      <c r="AA93">
        <f t="shared" si="21"/>
        <v>57.223999999999997</v>
      </c>
      <c r="AB93">
        <f t="shared" si="22"/>
        <v>10.6</v>
      </c>
    </row>
    <row r="94" spans="1:28" x14ac:dyDescent="0.25">
      <c r="A94" s="17">
        <v>41475</v>
      </c>
      <c r="B94" s="16">
        <v>57.223999999999997</v>
      </c>
      <c r="C94" s="16">
        <v>10.6</v>
      </c>
      <c r="G94" s="17"/>
      <c r="O94" s="17">
        <v>41445</v>
      </c>
      <c r="P94">
        <f t="shared" si="12"/>
        <v>2013</v>
      </c>
      <c r="Q94">
        <f t="shared" si="13"/>
        <v>6</v>
      </c>
      <c r="R94">
        <f t="shared" si="14"/>
        <v>20</v>
      </c>
      <c r="S94" t="str">
        <f t="shared" si="15"/>
        <v>2013-6-20</v>
      </c>
      <c r="T94" s="23">
        <v>138639.82</v>
      </c>
      <c r="V94" s="21">
        <f t="shared" si="16"/>
        <v>41476</v>
      </c>
      <c r="W94">
        <f t="shared" si="17"/>
        <v>2013</v>
      </c>
      <c r="X94">
        <f t="shared" si="18"/>
        <v>7</v>
      </c>
      <c r="Y94">
        <f t="shared" si="19"/>
        <v>21</v>
      </c>
      <c r="Z94" t="str">
        <f t="shared" si="20"/>
        <v>2013-7-21</v>
      </c>
      <c r="AA94">
        <f t="shared" si="21"/>
        <v>59.561999999999998</v>
      </c>
      <c r="AB94">
        <f t="shared" si="22"/>
        <v>10.5</v>
      </c>
    </row>
    <row r="95" spans="1:28" x14ac:dyDescent="0.25">
      <c r="A95" s="17">
        <v>41476</v>
      </c>
      <c r="B95" s="16">
        <v>59.561999999999998</v>
      </c>
      <c r="C95" s="16">
        <v>10.5</v>
      </c>
      <c r="G95" s="17"/>
      <c r="O95" s="17">
        <v>41446</v>
      </c>
      <c r="P95">
        <f t="shared" si="12"/>
        <v>2013</v>
      </c>
      <c r="Q95">
        <f t="shared" si="13"/>
        <v>6</v>
      </c>
      <c r="R95">
        <f t="shared" si="14"/>
        <v>21</v>
      </c>
      <c r="S95" t="str">
        <f t="shared" si="15"/>
        <v>2013-6-21</v>
      </c>
      <c r="T95" s="23">
        <v>138639.82</v>
      </c>
      <c r="V95" s="21">
        <f t="shared" si="16"/>
        <v>41477</v>
      </c>
      <c r="W95">
        <f t="shared" si="17"/>
        <v>2013</v>
      </c>
      <c r="X95">
        <f t="shared" si="18"/>
        <v>7</v>
      </c>
      <c r="Y95">
        <f t="shared" si="19"/>
        <v>22</v>
      </c>
      <c r="Z95" t="str">
        <f t="shared" si="20"/>
        <v>2013-7-22</v>
      </c>
      <c r="AA95">
        <f t="shared" si="21"/>
        <v>56.701000000000001</v>
      </c>
      <c r="AB95">
        <f t="shared" si="22"/>
        <v>10.4</v>
      </c>
    </row>
    <row r="96" spans="1:28" x14ac:dyDescent="0.25">
      <c r="A96" s="17">
        <v>41477</v>
      </c>
      <c r="B96" s="16">
        <v>56.701000000000001</v>
      </c>
      <c r="C96" s="16">
        <v>10.4</v>
      </c>
      <c r="G96" s="17"/>
      <c r="O96" s="17">
        <v>41447</v>
      </c>
      <c r="P96">
        <f t="shared" si="12"/>
        <v>2013</v>
      </c>
      <c r="Q96">
        <f t="shared" si="13"/>
        <v>6</v>
      </c>
      <c r="R96">
        <f t="shared" si="14"/>
        <v>22</v>
      </c>
      <c r="S96" t="str">
        <f t="shared" si="15"/>
        <v>2013-6-22</v>
      </c>
      <c r="T96" s="23">
        <v>138639.82</v>
      </c>
      <c r="V96" s="21">
        <f t="shared" si="16"/>
        <v>41478</v>
      </c>
      <c r="W96">
        <f t="shared" si="17"/>
        <v>2013</v>
      </c>
      <c r="X96">
        <f t="shared" si="18"/>
        <v>7</v>
      </c>
      <c r="Y96">
        <f t="shared" si="19"/>
        <v>23</v>
      </c>
      <c r="Z96" t="str">
        <f t="shared" si="20"/>
        <v>2013-7-23</v>
      </c>
      <c r="AA96">
        <f t="shared" si="21"/>
        <v>56.185000000000002</v>
      </c>
      <c r="AB96">
        <f t="shared" si="22"/>
        <v>9.56</v>
      </c>
    </row>
    <row r="97" spans="1:28" x14ac:dyDescent="0.25">
      <c r="A97" s="17">
        <v>41478</v>
      </c>
      <c r="B97" s="16">
        <v>56.185000000000002</v>
      </c>
      <c r="C97" s="16">
        <v>9.56</v>
      </c>
      <c r="G97" s="17"/>
      <c r="O97" s="17">
        <v>41448</v>
      </c>
      <c r="P97">
        <f t="shared" si="12"/>
        <v>2013</v>
      </c>
      <c r="Q97">
        <f t="shared" si="13"/>
        <v>6</v>
      </c>
      <c r="R97">
        <f t="shared" si="14"/>
        <v>23</v>
      </c>
      <c r="S97" t="str">
        <f t="shared" si="15"/>
        <v>2013-6-23</v>
      </c>
      <c r="T97" s="23">
        <v>138639.82</v>
      </c>
      <c r="V97" s="21">
        <f t="shared" si="16"/>
        <v>41479</v>
      </c>
      <c r="W97">
        <f t="shared" si="17"/>
        <v>2013</v>
      </c>
      <c r="X97">
        <f t="shared" si="18"/>
        <v>7</v>
      </c>
      <c r="Y97">
        <f t="shared" si="19"/>
        <v>24</v>
      </c>
      <c r="Z97" t="str">
        <f t="shared" si="20"/>
        <v>2013-7-24</v>
      </c>
      <c r="AA97">
        <f t="shared" si="21"/>
        <v>59.7</v>
      </c>
      <c r="AB97">
        <f t="shared" si="22"/>
        <v>10.1</v>
      </c>
    </row>
    <row r="98" spans="1:28" x14ac:dyDescent="0.25">
      <c r="A98" s="17">
        <v>41479</v>
      </c>
      <c r="B98" s="16">
        <v>59.7</v>
      </c>
      <c r="C98" s="16">
        <v>10.1</v>
      </c>
      <c r="G98" s="17"/>
      <c r="O98" s="17">
        <v>41449</v>
      </c>
      <c r="P98">
        <f t="shared" si="12"/>
        <v>2013</v>
      </c>
      <c r="Q98">
        <f t="shared" si="13"/>
        <v>6</v>
      </c>
      <c r="R98">
        <f t="shared" si="14"/>
        <v>24</v>
      </c>
      <c r="S98" t="str">
        <f t="shared" si="15"/>
        <v>2013-6-24</v>
      </c>
      <c r="T98" s="23">
        <v>138639.82</v>
      </c>
      <c r="V98" s="21">
        <f t="shared" si="16"/>
        <v>41480</v>
      </c>
      <c r="W98">
        <f t="shared" si="17"/>
        <v>2013</v>
      </c>
      <c r="X98">
        <f t="shared" si="18"/>
        <v>7</v>
      </c>
      <c r="Y98">
        <f t="shared" si="19"/>
        <v>25</v>
      </c>
      <c r="Z98" t="str">
        <f t="shared" si="20"/>
        <v>2013-7-25</v>
      </c>
      <c r="AA98">
        <f t="shared" si="21"/>
        <v>58.801000000000002</v>
      </c>
      <c r="AB98">
        <f t="shared" si="22"/>
        <v>12.2</v>
      </c>
    </row>
    <row r="99" spans="1:28" x14ac:dyDescent="0.25">
      <c r="A99" s="17">
        <v>41480</v>
      </c>
      <c r="B99" s="16">
        <v>58.801000000000002</v>
      </c>
      <c r="C99" s="16">
        <v>12.2</v>
      </c>
      <c r="G99" s="17"/>
      <c r="O99" s="17">
        <v>41450</v>
      </c>
      <c r="P99">
        <f t="shared" si="12"/>
        <v>2013</v>
      </c>
      <c r="Q99">
        <f t="shared" si="13"/>
        <v>6</v>
      </c>
      <c r="R99">
        <f t="shared" si="14"/>
        <v>25</v>
      </c>
      <c r="S99" t="str">
        <f t="shared" si="15"/>
        <v>2013-6-25</v>
      </c>
      <c r="T99" s="23">
        <v>138639.82</v>
      </c>
      <c r="V99" s="21">
        <f t="shared" si="16"/>
        <v>41481</v>
      </c>
      <c r="W99">
        <f t="shared" si="17"/>
        <v>2013</v>
      </c>
      <c r="X99">
        <f t="shared" si="18"/>
        <v>7</v>
      </c>
      <c r="Y99">
        <f t="shared" si="19"/>
        <v>26</v>
      </c>
      <c r="Z99" t="str">
        <f t="shared" si="20"/>
        <v>2013-7-26</v>
      </c>
      <c r="AA99">
        <f t="shared" si="21"/>
        <v>57.250999999999998</v>
      </c>
      <c r="AB99">
        <f t="shared" si="22"/>
        <v>12.1</v>
      </c>
    </row>
    <row r="100" spans="1:28" x14ac:dyDescent="0.25">
      <c r="A100" s="17">
        <v>41481</v>
      </c>
      <c r="B100" s="16">
        <v>57.250999999999998</v>
      </c>
      <c r="C100" s="16">
        <v>12.1</v>
      </c>
      <c r="G100" s="17"/>
      <c r="O100" s="17">
        <v>41451</v>
      </c>
      <c r="P100">
        <f t="shared" si="12"/>
        <v>2013</v>
      </c>
      <c r="Q100">
        <f t="shared" si="13"/>
        <v>6</v>
      </c>
      <c r="R100">
        <f t="shared" si="14"/>
        <v>26</v>
      </c>
      <c r="S100" t="str">
        <f t="shared" si="15"/>
        <v>2013-6-26</v>
      </c>
      <c r="T100" s="23">
        <v>138639.82</v>
      </c>
      <c r="V100" s="21">
        <f t="shared" si="16"/>
        <v>41482</v>
      </c>
      <c r="W100">
        <f t="shared" si="17"/>
        <v>2013</v>
      </c>
      <c r="X100">
        <f t="shared" si="18"/>
        <v>7</v>
      </c>
      <c r="Y100">
        <f t="shared" si="19"/>
        <v>27</v>
      </c>
      <c r="Z100" t="str">
        <f t="shared" si="20"/>
        <v>2013-7-27</v>
      </c>
      <c r="AA100">
        <f t="shared" si="21"/>
        <v>53.72</v>
      </c>
      <c r="AB100">
        <f t="shared" si="22"/>
        <v>10.7</v>
      </c>
    </row>
    <row r="101" spans="1:28" x14ac:dyDescent="0.25">
      <c r="A101" s="17">
        <v>41482</v>
      </c>
      <c r="B101" s="16">
        <v>53.72</v>
      </c>
      <c r="C101" s="16">
        <v>10.7</v>
      </c>
      <c r="G101" s="17"/>
      <c r="O101" s="17">
        <v>41452</v>
      </c>
      <c r="P101">
        <f t="shared" si="12"/>
        <v>2013</v>
      </c>
      <c r="Q101">
        <f t="shared" si="13"/>
        <v>6</v>
      </c>
      <c r="R101">
        <f t="shared" si="14"/>
        <v>27</v>
      </c>
      <c r="S101" t="str">
        <f t="shared" si="15"/>
        <v>2013-6-27</v>
      </c>
      <c r="T101" s="23">
        <v>138639.82</v>
      </c>
      <c r="V101" s="21">
        <f t="shared" si="16"/>
        <v>41483</v>
      </c>
      <c r="W101">
        <f t="shared" si="17"/>
        <v>2013</v>
      </c>
      <c r="X101">
        <f t="shared" si="18"/>
        <v>7</v>
      </c>
      <c r="Y101">
        <f t="shared" si="19"/>
        <v>28</v>
      </c>
      <c r="Z101" t="str">
        <f t="shared" si="20"/>
        <v>2013-7-28</v>
      </c>
      <c r="AA101">
        <f t="shared" si="21"/>
        <v>51.127000000000002</v>
      </c>
      <c r="AB101">
        <f t="shared" si="22"/>
        <v>9.64</v>
      </c>
    </row>
    <row r="102" spans="1:28" x14ac:dyDescent="0.25">
      <c r="A102" s="17">
        <v>41483</v>
      </c>
      <c r="B102" s="16">
        <v>51.127000000000002</v>
      </c>
      <c r="C102" s="16">
        <v>9.64</v>
      </c>
      <c r="G102" s="17"/>
      <c r="O102" s="17">
        <v>41453</v>
      </c>
      <c r="P102">
        <f t="shared" si="12"/>
        <v>2013</v>
      </c>
      <c r="Q102">
        <f t="shared" si="13"/>
        <v>6</v>
      </c>
      <c r="R102">
        <f t="shared" si="14"/>
        <v>28</v>
      </c>
      <c r="S102" t="str">
        <f t="shared" si="15"/>
        <v>2013-6-28</v>
      </c>
      <c r="T102" s="23">
        <v>138639.82</v>
      </c>
      <c r="V102" s="21">
        <f t="shared" si="16"/>
        <v>41484</v>
      </c>
      <c r="W102">
        <f t="shared" si="17"/>
        <v>2013</v>
      </c>
      <c r="X102">
        <f t="shared" si="18"/>
        <v>7</v>
      </c>
      <c r="Y102">
        <f t="shared" si="19"/>
        <v>29</v>
      </c>
      <c r="Z102" t="str">
        <f t="shared" si="20"/>
        <v>2013-7-29</v>
      </c>
      <c r="AA102">
        <f t="shared" si="21"/>
        <v>51.325000000000003</v>
      </c>
      <c r="AB102">
        <f t="shared" si="22"/>
        <v>8.68</v>
      </c>
    </row>
    <row r="103" spans="1:28" x14ac:dyDescent="0.25">
      <c r="A103" s="17">
        <v>41484</v>
      </c>
      <c r="B103" s="16">
        <v>51.325000000000003</v>
      </c>
      <c r="C103" s="16">
        <v>8.68</v>
      </c>
      <c r="G103" s="17"/>
      <c r="O103" s="17">
        <v>41454</v>
      </c>
      <c r="P103">
        <f t="shared" si="12"/>
        <v>2013</v>
      </c>
      <c r="Q103">
        <f t="shared" si="13"/>
        <v>6</v>
      </c>
      <c r="R103">
        <f t="shared" si="14"/>
        <v>29</v>
      </c>
      <c r="S103" t="str">
        <f t="shared" si="15"/>
        <v>2013-6-29</v>
      </c>
      <c r="T103" s="23">
        <v>138639.82</v>
      </c>
      <c r="V103" s="21">
        <f t="shared" si="16"/>
        <v>41485</v>
      </c>
      <c r="W103">
        <f t="shared" si="17"/>
        <v>2013</v>
      </c>
      <c r="X103">
        <f t="shared" si="18"/>
        <v>7</v>
      </c>
      <c r="Y103">
        <f t="shared" si="19"/>
        <v>30</v>
      </c>
      <c r="Z103" t="str">
        <f t="shared" si="20"/>
        <v>2013-7-30</v>
      </c>
      <c r="AA103">
        <f t="shared" si="21"/>
        <v>49.006999999999998</v>
      </c>
      <c r="AB103">
        <f t="shared" si="22"/>
        <v>8.2799999999999994</v>
      </c>
    </row>
    <row r="104" spans="1:28" x14ac:dyDescent="0.25">
      <c r="A104" s="17">
        <v>41485</v>
      </c>
      <c r="B104" s="16">
        <v>49.006999999999998</v>
      </c>
      <c r="C104" s="16">
        <v>8.2799999999999994</v>
      </c>
      <c r="G104" s="17"/>
      <c r="O104" s="17">
        <v>41455</v>
      </c>
      <c r="P104">
        <f t="shared" si="12"/>
        <v>2013</v>
      </c>
      <c r="Q104">
        <f t="shared" si="13"/>
        <v>6</v>
      </c>
      <c r="R104">
        <f t="shared" si="14"/>
        <v>30</v>
      </c>
      <c r="S104" t="str">
        <f t="shared" si="15"/>
        <v>2013-6-30</v>
      </c>
      <c r="T104" s="23">
        <v>138639.82</v>
      </c>
      <c r="V104" s="21">
        <f t="shared" si="16"/>
        <v>41486</v>
      </c>
      <c r="W104">
        <f t="shared" si="17"/>
        <v>2013</v>
      </c>
      <c r="X104">
        <f t="shared" si="18"/>
        <v>7</v>
      </c>
      <c r="Y104">
        <f t="shared" si="19"/>
        <v>31</v>
      </c>
      <c r="Z104" t="str">
        <f t="shared" si="20"/>
        <v>2013-7-31</v>
      </c>
      <c r="AA104">
        <f t="shared" si="21"/>
        <v>49.145000000000003</v>
      </c>
      <c r="AB104">
        <f t="shared" si="22"/>
        <v>8.26</v>
      </c>
    </row>
    <row r="105" spans="1:28" x14ac:dyDescent="0.25">
      <c r="A105" s="17">
        <v>41486</v>
      </c>
      <c r="B105" s="16">
        <v>49.145000000000003</v>
      </c>
      <c r="C105" s="16">
        <v>8.26</v>
      </c>
      <c r="G105" s="17"/>
      <c r="O105" s="17">
        <v>41456</v>
      </c>
      <c r="P105">
        <f t="shared" si="12"/>
        <v>2013</v>
      </c>
      <c r="Q105">
        <f t="shared" si="13"/>
        <v>7</v>
      </c>
      <c r="R105">
        <f t="shared" si="14"/>
        <v>1</v>
      </c>
      <c r="S105" t="str">
        <f t="shared" si="15"/>
        <v>2013-7-1</v>
      </c>
      <c r="T105" s="23">
        <v>138639.82</v>
      </c>
      <c r="V105" s="21">
        <f t="shared" si="16"/>
        <v>41487</v>
      </c>
      <c r="W105">
        <f t="shared" si="17"/>
        <v>2013</v>
      </c>
      <c r="X105">
        <f t="shared" si="18"/>
        <v>8</v>
      </c>
      <c r="Y105">
        <f t="shared" si="19"/>
        <v>1</v>
      </c>
      <c r="Z105" t="str">
        <f t="shared" si="20"/>
        <v>2013-8-1</v>
      </c>
      <c r="AA105">
        <f t="shared" si="21"/>
        <v>48.286999999999999</v>
      </c>
      <c r="AB105">
        <f t="shared" si="22"/>
        <v>8.0299999999999994</v>
      </c>
    </row>
    <row r="106" spans="1:28" x14ac:dyDescent="0.25">
      <c r="A106" s="17">
        <v>41487</v>
      </c>
      <c r="B106" s="16">
        <v>48.286999999999999</v>
      </c>
      <c r="C106" s="16">
        <v>8.0299999999999994</v>
      </c>
      <c r="G106" s="17"/>
      <c r="O106" s="17">
        <v>41457</v>
      </c>
      <c r="P106">
        <f t="shared" si="12"/>
        <v>2013</v>
      </c>
      <c r="Q106">
        <f t="shared" si="13"/>
        <v>7</v>
      </c>
      <c r="R106">
        <f t="shared" si="14"/>
        <v>2</v>
      </c>
      <c r="S106" t="str">
        <f t="shared" si="15"/>
        <v>2013-7-2</v>
      </c>
      <c r="T106" s="23">
        <v>138639.82</v>
      </c>
      <c r="V106" s="21">
        <f t="shared" si="16"/>
        <v>41488</v>
      </c>
      <c r="W106">
        <f t="shared" si="17"/>
        <v>2013</v>
      </c>
      <c r="X106">
        <f t="shared" si="18"/>
        <v>8</v>
      </c>
      <c r="Y106">
        <f t="shared" si="19"/>
        <v>2</v>
      </c>
      <c r="Z106" t="str">
        <f t="shared" si="20"/>
        <v>2013-8-2</v>
      </c>
      <c r="AA106">
        <f t="shared" si="21"/>
        <v>44.329000000000001</v>
      </c>
      <c r="AB106">
        <f t="shared" si="22"/>
        <v>7.51</v>
      </c>
    </row>
    <row r="107" spans="1:28" x14ac:dyDescent="0.25">
      <c r="A107" s="17">
        <v>41488</v>
      </c>
      <c r="B107" s="16">
        <v>44.329000000000001</v>
      </c>
      <c r="C107" s="16">
        <v>7.51</v>
      </c>
      <c r="G107" s="17"/>
      <c r="O107" s="17">
        <v>41458</v>
      </c>
      <c r="P107">
        <f t="shared" si="12"/>
        <v>2013</v>
      </c>
      <c r="Q107">
        <f t="shared" si="13"/>
        <v>7</v>
      </c>
      <c r="R107">
        <f t="shared" si="14"/>
        <v>3</v>
      </c>
      <c r="S107" t="str">
        <f t="shared" si="15"/>
        <v>2013-7-3</v>
      </c>
      <c r="T107" s="23">
        <v>138639.82</v>
      </c>
      <c r="V107" s="21">
        <f t="shared" si="16"/>
        <v>41489</v>
      </c>
      <c r="W107">
        <f t="shared" si="17"/>
        <v>2013</v>
      </c>
      <c r="X107">
        <f t="shared" si="18"/>
        <v>8</v>
      </c>
      <c r="Y107">
        <f t="shared" si="19"/>
        <v>3</v>
      </c>
      <c r="Z107" t="str">
        <f t="shared" si="20"/>
        <v>2013-8-3</v>
      </c>
      <c r="AA107">
        <f t="shared" si="21"/>
        <v>49.331000000000003</v>
      </c>
      <c r="AB107">
        <f t="shared" si="22"/>
        <v>7.26</v>
      </c>
    </row>
    <row r="108" spans="1:28" x14ac:dyDescent="0.25">
      <c r="A108" s="17">
        <v>41489</v>
      </c>
      <c r="B108" s="16">
        <v>49.331000000000003</v>
      </c>
      <c r="C108" s="16">
        <v>7.26</v>
      </c>
      <c r="G108" s="17"/>
      <c r="O108" s="17">
        <v>41459</v>
      </c>
      <c r="P108">
        <f t="shared" si="12"/>
        <v>2013</v>
      </c>
      <c r="Q108">
        <f t="shared" si="13"/>
        <v>7</v>
      </c>
      <c r="R108">
        <f t="shared" si="14"/>
        <v>4</v>
      </c>
      <c r="S108" t="str">
        <f t="shared" si="15"/>
        <v>2013-7-4</v>
      </c>
      <c r="T108" s="23">
        <v>138639.82</v>
      </c>
      <c r="V108" s="21">
        <f t="shared" si="16"/>
        <v>41490</v>
      </c>
      <c r="W108">
        <f t="shared" si="17"/>
        <v>2013</v>
      </c>
      <c r="X108">
        <f t="shared" si="18"/>
        <v>8</v>
      </c>
      <c r="Y108">
        <f t="shared" si="19"/>
        <v>4</v>
      </c>
      <c r="Z108" t="str">
        <f t="shared" si="20"/>
        <v>2013-8-4</v>
      </c>
      <c r="AA108">
        <f t="shared" si="21"/>
        <v>50.292999999999999</v>
      </c>
      <c r="AB108">
        <f t="shared" si="22"/>
        <v>6.85</v>
      </c>
    </row>
    <row r="109" spans="1:28" x14ac:dyDescent="0.25">
      <c r="A109" s="17">
        <v>41490</v>
      </c>
      <c r="B109" s="16">
        <v>50.292999999999999</v>
      </c>
      <c r="C109" s="16">
        <v>6.85</v>
      </c>
      <c r="G109" s="17"/>
      <c r="O109" s="17">
        <v>41460</v>
      </c>
      <c r="P109">
        <f t="shared" si="12"/>
        <v>2013</v>
      </c>
      <c r="Q109">
        <f t="shared" si="13"/>
        <v>7</v>
      </c>
      <c r="R109">
        <f t="shared" si="14"/>
        <v>5</v>
      </c>
      <c r="S109" t="str">
        <f t="shared" si="15"/>
        <v>2013-7-5</v>
      </c>
      <c r="T109" s="23">
        <v>138639.82</v>
      </c>
      <c r="V109" s="21">
        <f t="shared" si="16"/>
        <v>41491</v>
      </c>
      <c r="W109">
        <f t="shared" si="17"/>
        <v>2013</v>
      </c>
      <c r="X109">
        <f t="shared" si="18"/>
        <v>8</v>
      </c>
      <c r="Y109">
        <f t="shared" si="19"/>
        <v>5</v>
      </c>
      <c r="Z109" t="str">
        <f t="shared" si="20"/>
        <v>2013-8-5</v>
      </c>
      <c r="AA109">
        <f t="shared" si="21"/>
        <v>50.250999999999998</v>
      </c>
      <c r="AB109">
        <f t="shared" si="22"/>
        <v>6.89</v>
      </c>
    </row>
    <row r="110" spans="1:28" x14ac:dyDescent="0.25">
      <c r="A110" s="17">
        <v>41491</v>
      </c>
      <c r="B110" s="16">
        <v>50.250999999999998</v>
      </c>
      <c r="C110" s="16">
        <v>6.89</v>
      </c>
      <c r="G110" s="17"/>
      <c r="O110" s="17">
        <v>41461</v>
      </c>
      <c r="P110">
        <f t="shared" si="12"/>
        <v>2013</v>
      </c>
      <c r="Q110">
        <f t="shared" si="13"/>
        <v>7</v>
      </c>
      <c r="R110">
        <f t="shared" si="14"/>
        <v>6</v>
      </c>
      <c r="S110" t="str">
        <f t="shared" si="15"/>
        <v>2013-7-6</v>
      </c>
      <c r="T110" s="23">
        <v>138639.82</v>
      </c>
      <c r="V110" s="21">
        <f t="shared" si="16"/>
        <v>41492</v>
      </c>
      <c r="W110">
        <f t="shared" si="17"/>
        <v>2013</v>
      </c>
      <c r="X110">
        <f t="shared" si="18"/>
        <v>8</v>
      </c>
      <c r="Y110">
        <f t="shared" si="19"/>
        <v>6</v>
      </c>
      <c r="Z110" t="str">
        <f t="shared" si="20"/>
        <v>2013-8-6</v>
      </c>
      <c r="AA110">
        <f t="shared" si="21"/>
        <v>53.063000000000002</v>
      </c>
      <c r="AB110">
        <f t="shared" si="22"/>
        <v>6.67</v>
      </c>
    </row>
    <row r="111" spans="1:28" x14ac:dyDescent="0.25">
      <c r="A111" s="17">
        <v>41492</v>
      </c>
      <c r="B111" s="16">
        <v>53.063000000000002</v>
      </c>
      <c r="C111" s="16">
        <v>6.67</v>
      </c>
      <c r="G111" s="17"/>
      <c r="O111" s="17">
        <v>41462</v>
      </c>
      <c r="P111">
        <f t="shared" si="12"/>
        <v>2013</v>
      </c>
      <c r="Q111">
        <f t="shared" si="13"/>
        <v>7</v>
      </c>
      <c r="R111">
        <f t="shared" si="14"/>
        <v>7</v>
      </c>
      <c r="S111" t="str">
        <f t="shared" si="15"/>
        <v>2013-7-7</v>
      </c>
      <c r="T111" s="23">
        <v>138639.82</v>
      </c>
      <c r="V111" s="21">
        <f t="shared" si="16"/>
        <v>41493</v>
      </c>
      <c r="W111">
        <f t="shared" si="17"/>
        <v>2013</v>
      </c>
      <c r="X111">
        <f t="shared" si="18"/>
        <v>8</v>
      </c>
      <c r="Y111">
        <f t="shared" si="19"/>
        <v>7</v>
      </c>
      <c r="Z111" t="str">
        <f t="shared" si="20"/>
        <v>2013-8-7</v>
      </c>
      <c r="AA111">
        <f t="shared" si="21"/>
        <v>59.488</v>
      </c>
      <c r="AB111">
        <f t="shared" si="22"/>
        <v>7.18</v>
      </c>
    </row>
    <row r="112" spans="1:28" x14ac:dyDescent="0.25">
      <c r="A112" s="17">
        <v>41493</v>
      </c>
      <c r="B112" s="16">
        <v>59.488</v>
      </c>
      <c r="C112" s="16">
        <v>7.18</v>
      </c>
      <c r="G112" s="17"/>
      <c r="O112" s="17">
        <v>41463</v>
      </c>
      <c r="P112">
        <f t="shared" si="12"/>
        <v>2013</v>
      </c>
      <c r="Q112">
        <f t="shared" si="13"/>
        <v>7</v>
      </c>
      <c r="R112">
        <f t="shared" si="14"/>
        <v>8</v>
      </c>
      <c r="S112" t="str">
        <f t="shared" si="15"/>
        <v>2013-7-8</v>
      </c>
      <c r="T112" s="23">
        <v>138639.82</v>
      </c>
      <c r="V112" s="21">
        <f t="shared" si="16"/>
        <v>41494</v>
      </c>
      <c r="W112">
        <f t="shared" si="17"/>
        <v>2013</v>
      </c>
      <c r="X112">
        <f t="shared" si="18"/>
        <v>8</v>
      </c>
      <c r="Y112">
        <f t="shared" si="19"/>
        <v>8</v>
      </c>
      <c r="Z112" t="str">
        <f t="shared" si="20"/>
        <v>2013-8-8</v>
      </c>
      <c r="AA112">
        <f t="shared" si="21"/>
        <v>71.477000000000004</v>
      </c>
      <c r="AB112">
        <f t="shared" si="22"/>
        <v>7.28</v>
      </c>
    </row>
    <row r="113" spans="1:28" x14ac:dyDescent="0.25">
      <c r="A113" s="17">
        <v>41494</v>
      </c>
      <c r="B113" s="16">
        <v>71.477000000000004</v>
      </c>
      <c r="C113" s="16">
        <v>7.28</v>
      </c>
      <c r="G113" s="17"/>
      <c r="O113" s="17">
        <v>41464</v>
      </c>
      <c r="P113">
        <f t="shared" si="12"/>
        <v>2013</v>
      </c>
      <c r="Q113">
        <f t="shared" si="13"/>
        <v>7</v>
      </c>
      <c r="R113">
        <f t="shared" si="14"/>
        <v>9</v>
      </c>
      <c r="S113" t="str">
        <f t="shared" si="15"/>
        <v>2013-7-9</v>
      </c>
      <c r="T113" s="23">
        <v>138639.82</v>
      </c>
      <c r="V113" s="21">
        <f t="shared" si="16"/>
        <v>41495</v>
      </c>
      <c r="W113">
        <f t="shared" si="17"/>
        <v>2013</v>
      </c>
      <c r="X113">
        <f t="shared" si="18"/>
        <v>8</v>
      </c>
      <c r="Y113">
        <f t="shared" si="19"/>
        <v>9</v>
      </c>
      <c r="Z113" t="str">
        <f t="shared" si="20"/>
        <v>2013-8-9</v>
      </c>
      <c r="AA113">
        <f t="shared" si="21"/>
        <v>85.798000000000002</v>
      </c>
      <c r="AB113">
        <f t="shared" si="22"/>
        <v>8.94</v>
      </c>
    </row>
    <row r="114" spans="1:28" x14ac:dyDescent="0.25">
      <c r="A114" s="17">
        <v>41495</v>
      </c>
      <c r="B114" s="16">
        <v>85.798000000000002</v>
      </c>
      <c r="C114" s="16">
        <v>8.94</v>
      </c>
      <c r="G114" s="17"/>
      <c r="O114" s="17">
        <v>41465</v>
      </c>
      <c r="P114">
        <f t="shared" si="12"/>
        <v>2013</v>
      </c>
      <c r="Q114">
        <f t="shared" si="13"/>
        <v>7</v>
      </c>
      <c r="R114">
        <f t="shared" si="14"/>
        <v>10</v>
      </c>
      <c r="S114" t="str">
        <f t="shared" si="15"/>
        <v>2013-7-10</v>
      </c>
      <c r="T114" s="23">
        <v>138639.82</v>
      </c>
      <c r="V114" s="21">
        <f t="shared" si="16"/>
        <v>41496</v>
      </c>
      <c r="W114">
        <f t="shared" si="17"/>
        <v>2013</v>
      </c>
      <c r="X114">
        <f t="shared" si="18"/>
        <v>8</v>
      </c>
      <c r="Y114">
        <f t="shared" si="19"/>
        <v>10</v>
      </c>
      <c r="Z114" t="str">
        <f t="shared" si="20"/>
        <v>2013-8-10</v>
      </c>
      <c r="AA114">
        <f t="shared" si="21"/>
        <v>83.177000000000007</v>
      </c>
      <c r="AB114">
        <f t="shared" si="22"/>
        <v>11.1</v>
      </c>
    </row>
    <row r="115" spans="1:28" x14ac:dyDescent="0.25">
      <c r="A115" s="17">
        <v>41496</v>
      </c>
      <c r="B115" s="16">
        <v>83.177000000000007</v>
      </c>
      <c r="C115" s="16">
        <v>11.1</v>
      </c>
      <c r="G115" s="17"/>
      <c r="O115" s="17">
        <v>41466</v>
      </c>
      <c r="P115">
        <f t="shared" si="12"/>
        <v>2013</v>
      </c>
      <c r="Q115">
        <f t="shared" si="13"/>
        <v>7</v>
      </c>
      <c r="R115">
        <f t="shared" si="14"/>
        <v>11</v>
      </c>
      <c r="S115" t="str">
        <f t="shared" si="15"/>
        <v>2013-7-11</v>
      </c>
      <c r="T115" s="23">
        <v>138639.82</v>
      </c>
      <c r="V115" s="21">
        <f t="shared" si="16"/>
        <v>41497</v>
      </c>
      <c r="W115">
        <f t="shared" si="17"/>
        <v>2013</v>
      </c>
      <c r="X115">
        <f t="shared" si="18"/>
        <v>8</v>
      </c>
      <c r="Y115">
        <f t="shared" si="19"/>
        <v>11</v>
      </c>
      <c r="Z115" t="str">
        <f t="shared" si="20"/>
        <v>2013-8-11</v>
      </c>
      <c r="AA115">
        <f t="shared" si="21"/>
        <v>76.867999999999995</v>
      </c>
      <c r="AB115">
        <f t="shared" si="22"/>
        <v>10.3</v>
      </c>
    </row>
    <row r="116" spans="1:28" x14ac:dyDescent="0.25">
      <c r="A116" s="17">
        <v>41497</v>
      </c>
      <c r="B116" s="16">
        <v>76.867999999999995</v>
      </c>
      <c r="C116" s="16">
        <v>10.3</v>
      </c>
      <c r="G116" s="17"/>
      <c r="O116" s="17">
        <v>41467</v>
      </c>
      <c r="P116">
        <f t="shared" si="12"/>
        <v>2013</v>
      </c>
      <c r="Q116">
        <f t="shared" si="13"/>
        <v>7</v>
      </c>
      <c r="R116">
        <f t="shared" si="14"/>
        <v>12</v>
      </c>
      <c r="S116" t="str">
        <f t="shared" si="15"/>
        <v>2013-7-12</v>
      </c>
      <c r="T116" s="23">
        <v>138639.82</v>
      </c>
      <c r="V116" s="21">
        <f t="shared" si="16"/>
        <v>41498</v>
      </c>
      <c r="W116">
        <f t="shared" si="17"/>
        <v>2013</v>
      </c>
      <c r="X116">
        <f t="shared" si="18"/>
        <v>8</v>
      </c>
      <c r="Y116">
        <f t="shared" si="19"/>
        <v>12</v>
      </c>
      <c r="Z116" t="str">
        <f t="shared" si="20"/>
        <v>2013-8-12</v>
      </c>
      <c r="AA116">
        <f t="shared" si="21"/>
        <v>73.480999999999995</v>
      </c>
      <c r="AB116">
        <f t="shared" si="22"/>
        <v>8.77</v>
      </c>
    </row>
    <row r="117" spans="1:28" x14ac:dyDescent="0.25">
      <c r="A117" s="17">
        <v>41498</v>
      </c>
      <c r="B117" s="16">
        <v>73.480999999999995</v>
      </c>
      <c r="C117" s="16">
        <v>8.77</v>
      </c>
      <c r="G117" s="17"/>
      <c r="O117" s="17">
        <v>41468</v>
      </c>
      <c r="P117">
        <f t="shared" si="12"/>
        <v>2013</v>
      </c>
      <c r="Q117">
        <f t="shared" si="13"/>
        <v>7</v>
      </c>
      <c r="R117">
        <f t="shared" si="14"/>
        <v>13</v>
      </c>
      <c r="S117" t="str">
        <f t="shared" si="15"/>
        <v>2013-7-13</v>
      </c>
      <c r="T117" s="23">
        <v>138639.82</v>
      </c>
      <c r="V117" s="21">
        <f t="shared" si="16"/>
        <v>41499</v>
      </c>
      <c r="W117">
        <f t="shared" si="17"/>
        <v>2013</v>
      </c>
      <c r="X117">
        <f t="shared" si="18"/>
        <v>8</v>
      </c>
      <c r="Y117">
        <f t="shared" si="19"/>
        <v>13</v>
      </c>
      <c r="Z117" t="str">
        <f t="shared" si="20"/>
        <v>2013-8-13</v>
      </c>
      <c r="AA117">
        <f t="shared" si="21"/>
        <v>69.274000000000001</v>
      </c>
      <c r="AB117">
        <f t="shared" si="22"/>
        <v>7.57</v>
      </c>
    </row>
    <row r="118" spans="1:28" x14ac:dyDescent="0.25">
      <c r="A118" s="17">
        <v>41499</v>
      </c>
      <c r="B118" s="16">
        <v>69.274000000000001</v>
      </c>
      <c r="C118" s="16">
        <v>7.57</v>
      </c>
      <c r="G118" s="17"/>
      <c r="O118" s="17">
        <v>41469</v>
      </c>
      <c r="P118">
        <f t="shared" si="12"/>
        <v>2013</v>
      </c>
      <c r="Q118">
        <f t="shared" si="13"/>
        <v>7</v>
      </c>
      <c r="R118">
        <f t="shared" si="14"/>
        <v>14</v>
      </c>
      <c r="S118" t="str">
        <f t="shared" si="15"/>
        <v>2013-7-14</v>
      </c>
      <c r="T118" s="23">
        <v>138639.82</v>
      </c>
      <c r="V118" s="21">
        <f t="shared" si="16"/>
        <v>41500</v>
      </c>
      <c r="W118">
        <f t="shared" si="17"/>
        <v>2013</v>
      </c>
      <c r="X118">
        <f t="shared" si="18"/>
        <v>8</v>
      </c>
      <c r="Y118">
        <f t="shared" si="19"/>
        <v>14</v>
      </c>
      <c r="Z118" t="str">
        <f t="shared" si="20"/>
        <v>2013-8-14</v>
      </c>
      <c r="AA118">
        <f t="shared" si="21"/>
        <v>69.921000000000006</v>
      </c>
      <c r="AB118">
        <f t="shared" si="22"/>
        <v>6.92</v>
      </c>
    </row>
    <row r="119" spans="1:28" x14ac:dyDescent="0.25">
      <c r="A119" s="17">
        <v>41500</v>
      </c>
      <c r="B119" s="16">
        <v>69.921000000000006</v>
      </c>
      <c r="C119" s="16">
        <v>6.92</v>
      </c>
      <c r="G119" s="17"/>
      <c r="O119" s="17">
        <v>41470</v>
      </c>
      <c r="P119">
        <f t="shared" si="12"/>
        <v>2013</v>
      </c>
      <c r="Q119">
        <f t="shared" si="13"/>
        <v>7</v>
      </c>
      <c r="R119">
        <f t="shared" si="14"/>
        <v>15</v>
      </c>
      <c r="S119" t="str">
        <f t="shared" si="15"/>
        <v>2013-7-15</v>
      </c>
      <c r="T119" s="23">
        <v>138639.82</v>
      </c>
      <c r="V119" s="21"/>
    </row>
    <row r="120" spans="1:28" x14ac:dyDescent="0.25">
      <c r="G120" s="17"/>
      <c r="O120" s="17">
        <v>41471</v>
      </c>
      <c r="P120">
        <f t="shared" si="12"/>
        <v>2013</v>
      </c>
      <c r="Q120">
        <f t="shared" si="13"/>
        <v>7</v>
      </c>
      <c r="R120">
        <f t="shared" si="14"/>
        <v>16</v>
      </c>
      <c r="S120" t="str">
        <f t="shared" si="15"/>
        <v>2013-7-16</v>
      </c>
      <c r="T120" s="23">
        <v>138639.82</v>
      </c>
    </row>
    <row r="121" spans="1:28" x14ac:dyDescent="0.25">
      <c r="G121" s="17"/>
      <c r="O121" s="17">
        <v>41472</v>
      </c>
      <c r="P121">
        <f t="shared" si="12"/>
        <v>2013</v>
      </c>
      <c r="Q121">
        <f t="shared" si="13"/>
        <v>7</v>
      </c>
      <c r="R121">
        <f t="shared" si="14"/>
        <v>17</v>
      </c>
      <c r="S121" t="str">
        <f t="shared" si="15"/>
        <v>2013-7-17</v>
      </c>
      <c r="T121" s="23">
        <v>138639.82</v>
      </c>
    </row>
    <row r="122" spans="1:28" x14ac:dyDescent="0.25">
      <c r="G122" s="17"/>
      <c r="O122" s="17">
        <v>41473</v>
      </c>
      <c r="P122">
        <f t="shared" si="12"/>
        <v>2013</v>
      </c>
      <c r="Q122">
        <f t="shared" si="13"/>
        <v>7</v>
      </c>
      <c r="R122">
        <f t="shared" si="14"/>
        <v>18</v>
      </c>
      <c r="S122" t="str">
        <f t="shared" si="15"/>
        <v>2013-7-18</v>
      </c>
      <c r="T122" s="23">
        <v>138639.82</v>
      </c>
    </row>
    <row r="123" spans="1:28" x14ac:dyDescent="0.25">
      <c r="G123" s="17"/>
      <c r="O123" s="17">
        <v>41474</v>
      </c>
      <c r="P123">
        <f t="shared" si="12"/>
        <v>2013</v>
      </c>
      <c r="Q123">
        <f t="shared" si="13"/>
        <v>7</v>
      </c>
      <c r="R123">
        <f t="shared" si="14"/>
        <v>19</v>
      </c>
      <c r="S123" t="str">
        <f t="shared" si="15"/>
        <v>2013-7-19</v>
      </c>
      <c r="T123" s="23">
        <v>138639.82</v>
      </c>
    </row>
    <row r="124" spans="1:28" x14ac:dyDescent="0.25">
      <c r="G124" s="17"/>
      <c r="O124" s="17">
        <v>41475</v>
      </c>
      <c r="P124">
        <f t="shared" si="12"/>
        <v>2013</v>
      </c>
      <c r="Q124">
        <f t="shared" si="13"/>
        <v>7</v>
      </c>
      <c r="R124">
        <f t="shared" si="14"/>
        <v>20</v>
      </c>
      <c r="S124" t="str">
        <f t="shared" si="15"/>
        <v>2013-7-20</v>
      </c>
      <c r="T124" s="23">
        <v>138639.82</v>
      </c>
    </row>
    <row r="125" spans="1:28" x14ac:dyDescent="0.25">
      <c r="G125" s="17"/>
      <c r="O125" s="17">
        <v>41476</v>
      </c>
      <c r="P125">
        <f t="shared" si="12"/>
        <v>2013</v>
      </c>
      <c r="Q125">
        <f t="shared" si="13"/>
        <v>7</v>
      </c>
      <c r="R125">
        <f t="shared" si="14"/>
        <v>21</v>
      </c>
      <c r="S125" t="str">
        <f t="shared" si="15"/>
        <v>2013-7-21</v>
      </c>
      <c r="T125" s="23">
        <v>138639.82</v>
      </c>
    </row>
    <row r="126" spans="1:28" x14ac:dyDescent="0.25">
      <c r="G126" s="17"/>
      <c r="O126" s="17">
        <v>41477</v>
      </c>
      <c r="P126">
        <f t="shared" si="12"/>
        <v>2013</v>
      </c>
      <c r="Q126">
        <f t="shared" si="13"/>
        <v>7</v>
      </c>
      <c r="R126">
        <f t="shared" si="14"/>
        <v>22</v>
      </c>
      <c r="S126" t="str">
        <f t="shared" si="15"/>
        <v>2013-7-22</v>
      </c>
      <c r="T126" s="23">
        <v>138639.82</v>
      </c>
    </row>
    <row r="127" spans="1:28" x14ac:dyDescent="0.25">
      <c r="G127" s="17"/>
      <c r="O127" s="17">
        <v>41478</v>
      </c>
      <c r="P127">
        <f t="shared" si="12"/>
        <v>2013</v>
      </c>
      <c r="Q127">
        <f t="shared" si="13"/>
        <v>7</v>
      </c>
      <c r="R127">
        <f t="shared" si="14"/>
        <v>23</v>
      </c>
      <c r="S127" t="str">
        <f t="shared" si="15"/>
        <v>2013-7-23</v>
      </c>
      <c r="T127" s="23">
        <v>138639.82</v>
      </c>
    </row>
    <row r="128" spans="1:28" x14ac:dyDescent="0.25">
      <c r="G128" s="17"/>
      <c r="O128" s="17">
        <v>41479</v>
      </c>
      <c r="P128">
        <f t="shared" si="12"/>
        <v>2013</v>
      </c>
      <c r="Q128">
        <f t="shared" si="13"/>
        <v>7</v>
      </c>
      <c r="R128">
        <f t="shared" si="14"/>
        <v>24</v>
      </c>
      <c r="S128" t="str">
        <f t="shared" si="15"/>
        <v>2013-7-24</v>
      </c>
      <c r="T128" s="23">
        <v>138639.82</v>
      </c>
    </row>
    <row r="129" spans="7:20" x14ac:dyDescent="0.25">
      <c r="G129" s="17"/>
      <c r="O129" s="17">
        <v>41480</v>
      </c>
      <c r="P129">
        <f t="shared" si="12"/>
        <v>2013</v>
      </c>
      <c r="Q129">
        <f t="shared" si="13"/>
        <v>7</v>
      </c>
      <c r="R129">
        <f t="shared" si="14"/>
        <v>25</v>
      </c>
      <c r="S129" t="str">
        <f t="shared" si="15"/>
        <v>2013-7-25</v>
      </c>
      <c r="T129" s="23">
        <v>138639.82</v>
      </c>
    </row>
    <row r="130" spans="7:20" x14ac:dyDescent="0.25">
      <c r="G130" s="17"/>
      <c r="O130" s="17">
        <v>41481</v>
      </c>
      <c r="P130">
        <f t="shared" si="12"/>
        <v>2013</v>
      </c>
      <c r="Q130">
        <f t="shared" si="13"/>
        <v>7</v>
      </c>
      <c r="R130">
        <f t="shared" si="14"/>
        <v>26</v>
      </c>
      <c r="S130" t="str">
        <f t="shared" si="15"/>
        <v>2013-7-26</v>
      </c>
      <c r="T130" s="23">
        <v>138639.82</v>
      </c>
    </row>
    <row r="131" spans="7:20" x14ac:dyDescent="0.25">
      <c r="G131" s="17"/>
      <c r="O131" s="17">
        <v>41482</v>
      </c>
      <c r="P131">
        <f t="shared" si="12"/>
        <v>2013</v>
      </c>
      <c r="Q131">
        <f t="shared" si="13"/>
        <v>7</v>
      </c>
      <c r="R131">
        <f t="shared" si="14"/>
        <v>27</v>
      </c>
      <c r="S131" t="str">
        <f t="shared" si="15"/>
        <v>2013-7-27</v>
      </c>
      <c r="T131" s="23">
        <v>138639.82</v>
      </c>
    </row>
    <row r="132" spans="7:20" x14ac:dyDescent="0.25">
      <c r="G132" s="17"/>
      <c r="O132" s="17">
        <v>41483</v>
      </c>
      <c r="P132">
        <f t="shared" si="12"/>
        <v>2013</v>
      </c>
      <c r="Q132">
        <f t="shared" si="13"/>
        <v>7</v>
      </c>
      <c r="R132">
        <f t="shared" si="14"/>
        <v>28</v>
      </c>
      <c r="S132" t="str">
        <f t="shared" si="15"/>
        <v>2013-7-28</v>
      </c>
      <c r="T132" s="23">
        <v>138639.82</v>
      </c>
    </row>
    <row r="133" spans="7:20" x14ac:dyDescent="0.25">
      <c r="G133" s="17"/>
      <c r="O133" s="17">
        <v>41484</v>
      </c>
      <c r="P133">
        <f t="shared" si="12"/>
        <v>2013</v>
      </c>
      <c r="Q133">
        <f t="shared" si="13"/>
        <v>7</v>
      </c>
      <c r="R133">
        <f t="shared" si="14"/>
        <v>29</v>
      </c>
      <c r="S133" t="str">
        <f t="shared" si="15"/>
        <v>2013-7-29</v>
      </c>
      <c r="T133" s="23">
        <v>138639.82</v>
      </c>
    </row>
    <row r="134" spans="7:20" x14ac:dyDescent="0.25">
      <c r="G134" s="17"/>
      <c r="O134" s="17">
        <v>41485</v>
      </c>
      <c r="P134">
        <f t="shared" si="12"/>
        <v>2013</v>
      </c>
      <c r="Q134">
        <f t="shared" si="13"/>
        <v>7</v>
      </c>
      <c r="R134">
        <f t="shared" si="14"/>
        <v>30</v>
      </c>
      <c r="S134" t="str">
        <f t="shared" si="15"/>
        <v>2013-7-30</v>
      </c>
      <c r="T134" s="23">
        <v>138639.82</v>
      </c>
    </row>
    <row r="135" spans="7:20" x14ac:dyDescent="0.25">
      <c r="G135" s="17"/>
      <c r="O135" s="17">
        <v>41486</v>
      </c>
      <c r="P135">
        <f t="shared" si="12"/>
        <v>2013</v>
      </c>
      <c r="Q135">
        <f t="shared" si="13"/>
        <v>7</v>
      </c>
      <c r="R135">
        <f t="shared" si="14"/>
        <v>31</v>
      </c>
      <c r="S135" t="str">
        <f t="shared" si="15"/>
        <v>2013-7-31</v>
      </c>
      <c r="T135" s="23">
        <v>138639.82</v>
      </c>
    </row>
    <row r="136" spans="7:20" x14ac:dyDescent="0.25">
      <c r="G136" s="17"/>
      <c r="O136" s="17">
        <v>41487</v>
      </c>
      <c r="P136">
        <f t="shared" si="12"/>
        <v>2013</v>
      </c>
      <c r="Q136">
        <f t="shared" si="13"/>
        <v>8</v>
      </c>
      <c r="R136">
        <f t="shared" si="14"/>
        <v>1</v>
      </c>
      <c r="S136" t="str">
        <f t="shared" si="15"/>
        <v>2013-8-1</v>
      </c>
      <c r="T136" s="23">
        <v>138639.82</v>
      </c>
    </row>
    <row r="137" spans="7:20" x14ac:dyDescent="0.25">
      <c r="G137" s="17"/>
      <c r="O137" s="17">
        <v>41488</v>
      </c>
      <c r="P137">
        <f t="shared" si="12"/>
        <v>2013</v>
      </c>
      <c r="Q137">
        <f t="shared" si="13"/>
        <v>8</v>
      </c>
      <c r="R137">
        <f t="shared" si="14"/>
        <v>2</v>
      </c>
      <c r="S137" t="str">
        <f t="shared" si="15"/>
        <v>2013-8-2</v>
      </c>
      <c r="T137" s="23">
        <v>138639.82</v>
      </c>
    </row>
    <row r="138" spans="7:20" x14ac:dyDescent="0.25">
      <c r="G138" s="17"/>
      <c r="O138" s="17">
        <v>41489</v>
      </c>
      <c r="P138">
        <f t="shared" si="12"/>
        <v>2013</v>
      </c>
      <c r="Q138">
        <f t="shared" si="13"/>
        <v>8</v>
      </c>
      <c r="R138">
        <f t="shared" si="14"/>
        <v>3</v>
      </c>
      <c r="S138" t="str">
        <f t="shared" si="15"/>
        <v>2013-8-3</v>
      </c>
      <c r="T138" s="23">
        <v>138639.82</v>
      </c>
    </row>
    <row r="139" spans="7:20" x14ac:dyDescent="0.25">
      <c r="G139" s="17"/>
      <c r="O139" s="17">
        <v>41490</v>
      </c>
      <c r="P139">
        <f t="shared" si="12"/>
        <v>2013</v>
      </c>
      <c r="Q139">
        <f t="shared" si="13"/>
        <v>8</v>
      </c>
      <c r="R139">
        <f t="shared" si="14"/>
        <v>4</v>
      </c>
      <c r="S139" t="str">
        <f t="shared" si="15"/>
        <v>2013-8-4</v>
      </c>
      <c r="T139" s="23">
        <v>138639.82</v>
      </c>
    </row>
    <row r="140" spans="7:20" x14ac:dyDescent="0.25">
      <c r="G140" s="17"/>
      <c r="O140" s="17">
        <v>41491</v>
      </c>
      <c r="P140">
        <f t="shared" si="12"/>
        <v>2013</v>
      </c>
      <c r="Q140">
        <f t="shared" si="13"/>
        <v>8</v>
      </c>
      <c r="R140">
        <f t="shared" si="14"/>
        <v>5</v>
      </c>
      <c r="S140" t="str">
        <f t="shared" si="15"/>
        <v>2013-8-5</v>
      </c>
      <c r="T140" s="23">
        <v>138639.82</v>
      </c>
    </row>
    <row r="141" spans="7:20" x14ac:dyDescent="0.25">
      <c r="G141" s="17"/>
      <c r="O141" s="17">
        <v>41492</v>
      </c>
      <c r="P141">
        <f t="shared" si="12"/>
        <v>2013</v>
      </c>
      <c r="Q141">
        <f t="shared" si="13"/>
        <v>8</v>
      </c>
      <c r="R141">
        <f t="shared" si="14"/>
        <v>6</v>
      </c>
      <c r="S141" t="str">
        <f t="shared" si="15"/>
        <v>2013-8-6</v>
      </c>
      <c r="T141" s="23">
        <v>138639.82</v>
      </c>
    </row>
    <row r="142" spans="7:20" x14ac:dyDescent="0.25">
      <c r="G142" s="17"/>
      <c r="O142" s="17">
        <v>41493</v>
      </c>
      <c r="P142">
        <f t="shared" ref="P142:P198" si="23">IF(MONTH($O142)&gt;=10, YEAR($O142)+1, YEAR($O142))</f>
        <v>2013</v>
      </c>
      <c r="Q142">
        <f t="shared" ref="Q142:Q174" si="24">MONTH(O142)</f>
        <v>8</v>
      </c>
      <c r="R142">
        <f t="shared" ref="R142:R174" si="25">DAY(O142)</f>
        <v>7</v>
      </c>
      <c r="S142" t="str">
        <f t="shared" ref="S142:S151" si="26">P142&amp;"-"&amp;Q142&amp;"-"&amp;R142</f>
        <v>2013-8-7</v>
      </c>
      <c r="T142" s="23">
        <v>138639.82</v>
      </c>
    </row>
    <row r="143" spans="7:20" x14ac:dyDescent="0.25">
      <c r="G143" s="17"/>
      <c r="O143" s="17">
        <v>41494</v>
      </c>
      <c r="P143">
        <f t="shared" si="23"/>
        <v>2013</v>
      </c>
      <c r="Q143">
        <f t="shared" si="24"/>
        <v>8</v>
      </c>
      <c r="R143">
        <f t="shared" si="25"/>
        <v>8</v>
      </c>
      <c r="S143" t="str">
        <f t="shared" si="26"/>
        <v>2013-8-8</v>
      </c>
      <c r="T143" s="23">
        <v>138639.82</v>
      </c>
    </row>
    <row r="144" spans="7:20" x14ac:dyDescent="0.25">
      <c r="G144" s="17"/>
      <c r="O144" s="17">
        <v>41495</v>
      </c>
      <c r="P144">
        <f t="shared" si="23"/>
        <v>2013</v>
      </c>
      <c r="Q144">
        <f t="shared" si="24"/>
        <v>8</v>
      </c>
      <c r="R144">
        <f t="shared" si="25"/>
        <v>9</v>
      </c>
      <c r="S144" t="str">
        <f t="shared" si="26"/>
        <v>2013-8-9</v>
      </c>
      <c r="T144" s="23">
        <v>138639.82</v>
      </c>
    </row>
    <row r="145" spans="7:20" x14ac:dyDescent="0.25">
      <c r="G145" s="17"/>
      <c r="O145" s="17">
        <v>41496</v>
      </c>
      <c r="P145">
        <f t="shared" si="23"/>
        <v>2013</v>
      </c>
      <c r="Q145">
        <f t="shared" si="24"/>
        <v>8</v>
      </c>
      <c r="R145">
        <f t="shared" si="25"/>
        <v>10</v>
      </c>
      <c r="S145" t="str">
        <f t="shared" si="26"/>
        <v>2013-8-10</v>
      </c>
      <c r="T145" s="23">
        <v>138639.82</v>
      </c>
    </row>
    <row r="146" spans="7:20" x14ac:dyDescent="0.25">
      <c r="G146" s="17"/>
      <c r="O146" s="17">
        <v>41497</v>
      </c>
      <c r="P146">
        <f t="shared" si="23"/>
        <v>2013</v>
      </c>
      <c r="Q146">
        <f t="shared" si="24"/>
        <v>8</v>
      </c>
      <c r="R146">
        <f t="shared" si="25"/>
        <v>11</v>
      </c>
      <c r="S146" t="str">
        <f t="shared" si="26"/>
        <v>2013-8-11</v>
      </c>
      <c r="T146" s="23">
        <v>138639.82</v>
      </c>
    </row>
    <row r="147" spans="7:20" x14ac:dyDescent="0.25">
      <c r="G147" s="17"/>
      <c r="O147" s="17">
        <v>41498</v>
      </c>
      <c r="P147">
        <f t="shared" si="23"/>
        <v>2013</v>
      </c>
      <c r="Q147">
        <f t="shared" si="24"/>
        <v>8</v>
      </c>
      <c r="R147">
        <f t="shared" si="25"/>
        <v>12</v>
      </c>
      <c r="S147" t="str">
        <f t="shared" si="26"/>
        <v>2013-8-12</v>
      </c>
      <c r="T147" s="23">
        <v>138639.82</v>
      </c>
    </row>
    <row r="148" spans="7:20" x14ac:dyDescent="0.25">
      <c r="G148" s="17"/>
      <c r="O148" s="17">
        <v>41499</v>
      </c>
      <c r="P148">
        <f t="shared" si="23"/>
        <v>2013</v>
      </c>
      <c r="Q148">
        <f t="shared" si="24"/>
        <v>8</v>
      </c>
      <c r="R148">
        <f t="shared" si="25"/>
        <v>13</v>
      </c>
      <c r="S148" t="str">
        <f t="shared" si="26"/>
        <v>2013-8-13</v>
      </c>
      <c r="T148" s="23">
        <v>138639.82</v>
      </c>
    </row>
    <row r="149" spans="7:20" x14ac:dyDescent="0.25">
      <c r="G149" s="17"/>
      <c r="O149" s="17">
        <v>41500</v>
      </c>
      <c r="P149">
        <f t="shared" si="23"/>
        <v>2013</v>
      </c>
      <c r="Q149">
        <f t="shared" si="24"/>
        <v>8</v>
      </c>
      <c r="R149">
        <f t="shared" si="25"/>
        <v>14</v>
      </c>
      <c r="S149" t="str">
        <f t="shared" si="26"/>
        <v>2013-8-14</v>
      </c>
      <c r="T149" s="23">
        <v>138639.82</v>
      </c>
    </row>
    <row r="150" spans="7:20" x14ac:dyDescent="0.25">
      <c r="G150" s="17"/>
      <c r="O150" s="17">
        <v>41501</v>
      </c>
      <c r="P150">
        <f t="shared" si="23"/>
        <v>2013</v>
      </c>
      <c r="Q150">
        <f t="shared" si="24"/>
        <v>8</v>
      </c>
      <c r="R150">
        <f t="shared" si="25"/>
        <v>15</v>
      </c>
      <c r="S150" t="str">
        <f t="shared" si="26"/>
        <v>2013-8-15</v>
      </c>
      <c r="T150" s="23">
        <v>138639.82</v>
      </c>
    </row>
    <row r="151" spans="7:20" x14ac:dyDescent="0.25">
      <c r="G151" s="17"/>
      <c r="O151" s="17">
        <v>41502</v>
      </c>
      <c r="P151">
        <f t="shared" si="23"/>
        <v>2013</v>
      </c>
      <c r="Q151">
        <f t="shared" si="24"/>
        <v>8</v>
      </c>
      <c r="R151">
        <f t="shared" si="25"/>
        <v>16</v>
      </c>
      <c r="S151" t="str">
        <f t="shared" si="26"/>
        <v>2013-8-16</v>
      </c>
      <c r="T151" s="23">
        <v>138639.82</v>
      </c>
    </row>
    <row r="152" spans="7:20" x14ac:dyDescent="0.25">
      <c r="G152" s="17"/>
      <c r="O152" s="17">
        <v>41503</v>
      </c>
      <c r="P152">
        <f t="shared" si="23"/>
        <v>2013</v>
      </c>
      <c r="Q152">
        <f t="shared" ref="Q152:Q176" si="27">MONTH(O152)</f>
        <v>8</v>
      </c>
      <c r="R152">
        <f t="shared" ref="R152:R176" si="28">DAY(O152)</f>
        <v>17</v>
      </c>
      <c r="S152" t="str">
        <f t="shared" ref="S152:S176" si="29">P152&amp;"-"&amp;Q152&amp;"-"&amp;R152</f>
        <v>2013-8-17</v>
      </c>
      <c r="T152" s="23">
        <v>138639.82</v>
      </c>
    </row>
    <row r="153" spans="7:20" x14ac:dyDescent="0.25">
      <c r="G153" s="17"/>
      <c r="O153" s="17">
        <v>41504</v>
      </c>
      <c r="P153">
        <f t="shared" si="23"/>
        <v>2013</v>
      </c>
      <c r="Q153">
        <f t="shared" si="27"/>
        <v>8</v>
      </c>
      <c r="R153">
        <f t="shared" si="28"/>
        <v>18</v>
      </c>
      <c r="S153" t="str">
        <f t="shared" si="29"/>
        <v>2013-8-18</v>
      </c>
      <c r="T153" s="23">
        <v>138639.82</v>
      </c>
    </row>
    <row r="154" spans="7:20" x14ac:dyDescent="0.25">
      <c r="G154" s="17"/>
      <c r="O154" s="17">
        <v>41505</v>
      </c>
      <c r="P154">
        <f t="shared" si="23"/>
        <v>2013</v>
      </c>
      <c r="Q154">
        <f t="shared" si="27"/>
        <v>8</v>
      </c>
      <c r="R154">
        <f t="shared" si="28"/>
        <v>19</v>
      </c>
      <c r="S154" t="str">
        <f t="shared" si="29"/>
        <v>2013-8-19</v>
      </c>
      <c r="T154" s="23">
        <v>138639.82</v>
      </c>
    </row>
    <row r="155" spans="7:20" x14ac:dyDescent="0.25">
      <c r="G155" s="17"/>
      <c r="O155" s="17">
        <v>41506</v>
      </c>
      <c r="P155">
        <f t="shared" si="23"/>
        <v>2013</v>
      </c>
      <c r="Q155">
        <f t="shared" si="27"/>
        <v>8</v>
      </c>
      <c r="R155">
        <f t="shared" si="28"/>
        <v>20</v>
      </c>
      <c r="S155" t="str">
        <f t="shared" si="29"/>
        <v>2013-8-20</v>
      </c>
      <c r="T155" s="23">
        <v>138639.82</v>
      </c>
    </row>
    <row r="156" spans="7:20" x14ac:dyDescent="0.25">
      <c r="G156" s="17"/>
      <c r="O156" s="17">
        <v>41507</v>
      </c>
      <c r="P156">
        <f t="shared" si="23"/>
        <v>2013</v>
      </c>
      <c r="Q156">
        <f t="shared" si="27"/>
        <v>8</v>
      </c>
      <c r="R156">
        <f t="shared" si="28"/>
        <v>21</v>
      </c>
      <c r="S156" t="str">
        <f t="shared" si="29"/>
        <v>2013-8-21</v>
      </c>
      <c r="T156" s="23">
        <v>138639.82</v>
      </c>
    </row>
    <row r="157" spans="7:20" x14ac:dyDescent="0.25">
      <c r="G157" s="17"/>
      <c r="O157" s="17">
        <v>41508</v>
      </c>
      <c r="P157">
        <f t="shared" si="23"/>
        <v>2013</v>
      </c>
      <c r="Q157">
        <f t="shared" si="27"/>
        <v>8</v>
      </c>
      <c r="R157">
        <f t="shared" si="28"/>
        <v>22</v>
      </c>
      <c r="S157" t="str">
        <f t="shared" si="29"/>
        <v>2013-8-22</v>
      </c>
      <c r="T157" s="23">
        <v>138639.82</v>
      </c>
    </row>
    <row r="158" spans="7:20" x14ac:dyDescent="0.25">
      <c r="G158" s="17"/>
      <c r="O158" s="17">
        <v>41509</v>
      </c>
      <c r="P158">
        <f t="shared" si="23"/>
        <v>2013</v>
      </c>
      <c r="Q158">
        <f t="shared" si="27"/>
        <v>8</v>
      </c>
      <c r="R158">
        <f t="shared" si="28"/>
        <v>23</v>
      </c>
      <c r="S158" t="str">
        <f t="shared" si="29"/>
        <v>2013-8-23</v>
      </c>
      <c r="T158" s="23">
        <v>138639.82</v>
      </c>
    </row>
    <row r="159" spans="7:20" x14ac:dyDescent="0.25">
      <c r="G159" s="17"/>
      <c r="O159" s="17">
        <v>41510</v>
      </c>
      <c r="P159">
        <f t="shared" si="23"/>
        <v>2013</v>
      </c>
      <c r="Q159">
        <f t="shared" si="27"/>
        <v>8</v>
      </c>
      <c r="R159">
        <f t="shared" si="28"/>
        <v>24</v>
      </c>
      <c r="S159" t="str">
        <f t="shared" si="29"/>
        <v>2013-8-24</v>
      </c>
      <c r="T159" s="23">
        <v>138639.82</v>
      </c>
    </row>
    <row r="160" spans="7:20" x14ac:dyDescent="0.25">
      <c r="O160" s="17">
        <v>41511</v>
      </c>
      <c r="P160">
        <f t="shared" si="23"/>
        <v>2013</v>
      </c>
      <c r="Q160">
        <f t="shared" si="27"/>
        <v>8</v>
      </c>
      <c r="R160">
        <f t="shared" si="28"/>
        <v>25</v>
      </c>
      <c r="S160" t="str">
        <f t="shared" si="29"/>
        <v>2013-8-25</v>
      </c>
      <c r="T160" s="23">
        <v>138639.82</v>
      </c>
    </row>
    <row r="161" spans="15:20" x14ac:dyDescent="0.25">
      <c r="O161" s="17">
        <v>41512</v>
      </c>
      <c r="P161">
        <f t="shared" si="23"/>
        <v>2013</v>
      </c>
      <c r="Q161">
        <f t="shared" si="27"/>
        <v>8</v>
      </c>
      <c r="R161">
        <f t="shared" si="28"/>
        <v>26</v>
      </c>
      <c r="S161" t="str">
        <f t="shared" si="29"/>
        <v>2013-8-26</v>
      </c>
      <c r="T161" s="23">
        <v>138639.82</v>
      </c>
    </row>
    <row r="162" spans="15:20" x14ac:dyDescent="0.25">
      <c r="O162" s="17">
        <v>41513</v>
      </c>
      <c r="P162">
        <f t="shared" si="23"/>
        <v>2013</v>
      </c>
      <c r="Q162">
        <f t="shared" si="27"/>
        <v>8</v>
      </c>
      <c r="R162">
        <f t="shared" si="28"/>
        <v>27</v>
      </c>
      <c r="S162" t="str">
        <f t="shared" si="29"/>
        <v>2013-8-27</v>
      </c>
      <c r="T162" s="23">
        <v>138639.82</v>
      </c>
    </row>
    <row r="163" spans="15:20" x14ac:dyDescent="0.25">
      <c r="O163" s="17">
        <v>41514</v>
      </c>
      <c r="P163">
        <f t="shared" si="23"/>
        <v>2013</v>
      </c>
      <c r="Q163">
        <f t="shared" si="27"/>
        <v>8</v>
      </c>
      <c r="R163">
        <f t="shared" si="28"/>
        <v>28</v>
      </c>
      <c r="S163" t="str">
        <f t="shared" si="29"/>
        <v>2013-8-28</v>
      </c>
      <c r="T163" s="23">
        <v>138639.82</v>
      </c>
    </row>
    <row r="164" spans="15:20" x14ac:dyDescent="0.25">
      <c r="O164" s="17">
        <v>41515</v>
      </c>
      <c r="P164">
        <f t="shared" si="23"/>
        <v>2013</v>
      </c>
      <c r="Q164">
        <f t="shared" si="27"/>
        <v>8</v>
      </c>
      <c r="R164">
        <f t="shared" si="28"/>
        <v>29</v>
      </c>
      <c r="S164" t="str">
        <f t="shared" si="29"/>
        <v>2013-8-29</v>
      </c>
      <c r="T164" s="23">
        <v>138639.82</v>
      </c>
    </row>
    <row r="165" spans="15:20" x14ac:dyDescent="0.25">
      <c r="O165" s="17">
        <v>41516</v>
      </c>
      <c r="P165">
        <f t="shared" si="23"/>
        <v>2013</v>
      </c>
      <c r="Q165">
        <f t="shared" si="27"/>
        <v>8</v>
      </c>
      <c r="R165">
        <f t="shared" si="28"/>
        <v>30</v>
      </c>
      <c r="S165" t="str">
        <f t="shared" si="29"/>
        <v>2013-8-30</v>
      </c>
      <c r="T165" s="23">
        <v>138639.82</v>
      </c>
    </row>
    <row r="166" spans="15:20" x14ac:dyDescent="0.25">
      <c r="O166" s="17">
        <v>41517</v>
      </c>
      <c r="P166">
        <f t="shared" si="23"/>
        <v>2013</v>
      </c>
      <c r="Q166">
        <f t="shared" si="27"/>
        <v>8</v>
      </c>
      <c r="R166">
        <f t="shared" si="28"/>
        <v>31</v>
      </c>
      <c r="S166" t="str">
        <f t="shared" si="29"/>
        <v>2013-8-31</v>
      </c>
      <c r="T166" s="23">
        <v>138639.82</v>
      </c>
    </row>
    <row r="167" spans="15:20" x14ac:dyDescent="0.25">
      <c r="O167" s="17">
        <v>41518</v>
      </c>
      <c r="P167">
        <f t="shared" si="23"/>
        <v>2013</v>
      </c>
      <c r="Q167">
        <f t="shared" si="27"/>
        <v>9</v>
      </c>
      <c r="R167">
        <f t="shared" si="28"/>
        <v>1</v>
      </c>
      <c r="S167" t="str">
        <f t="shared" si="29"/>
        <v>2013-9-1</v>
      </c>
      <c r="T167" s="23">
        <v>138639.82</v>
      </c>
    </row>
    <row r="168" spans="15:20" x14ac:dyDescent="0.25">
      <c r="O168" s="17">
        <v>41519</v>
      </c>
      <c r="P168">
        <f t="shared" si="23"/>
        <v>2013</v>
      </c>
      <c r="Q168">
        <f t="shared" si="27"/>
        <v>9</v>
      </c>
      <c r="R168">
        <f t="shared" si="28"/>
        <v>2</v>
      </c>
      <c r="S168" t="str">
        <f t="shared" si="29"/>
        <v>2013-9-2</v>
      </c>
      <c r="T168" s="23">
        <v>138639.82</v>
      </c>
    </row>
    <row r="169" spans="15:20" x14ac:dyDescent="0.25">
      <c r="O169" s="17">
        <v>41520</v>
      </c>
      <c r="P169">
        <f t="shared" si="23"/>
        <v>2013</v>
      </c>
      <c r="Q169">
        <f t="shared" si="27"/>
        <v>9</v>
      </c>
      <c r="R169">
        <f t="shared" si="28"/>
        <v>3</v>
      </c>
      <c r="S169" t="str">
        <f t="shared" si="29"/>
        <v>2013-9-3</v>
      </c>
      <c r="T169" s="23">
        <v>138639.82</v>
      </c>
    </row>
    <row r="170" spans="15:20" x14ac:dyDescent="0.25">
      <c r="O170" s="17">
        <v>41521</v>
      </c>
      <c r="P170">
        <f t="shared" si="23"/>
        <v>2013</v>
      </c>
      <c r="Q170">
        <f t="shared" si="27"/>
        <v>9</v>
      </c>
      <c r="R170">
        <f t="shared" si="28"/>
        <v>4</v>
      </c>
      <c r="S170" t="str">
        <f t="shared" si="29"/>
        <v>2013-9-4</v>
      </c>
      <c r="T170" s="23">
        <v>138639.82</v>
      </c>
    </row>
    <row r="171" spans="15:20" x14ac:dyDescent="0.25">
      <c r="O171" s="17">
        <v>41522</v>
      </c>
      <c r="P171">
        <f t="shared" si="23"/>
        <v>2013</v>
      </c>
      <c r="Q171">
        <f t="shared" si="27"/>
        <v>9</v>
      </c>
      <c r="R171">
        <f t="shared" si="28"/>
        <v>5</v>
      </c>
      <c r="S171" t="str">
        <f t="shared" si="29"/>
        <v>2013-9-5</v>
      </c>
      <c r="T171" s="23">
        <v>138639.82</v>
      </c>
    </row>
    <row r="172" spans="15:20" x14ac:dyDescent="0.25">
      <c r="O172" s="17">
        <v>41523</v>
      </c>
      <c r="P172">
        <f t="shared" si="23"/>
        <v>2013</v>
      </c>
      <c r="Q172">
        <f t="shared" si="27"/>
        <v>9</v>
      </c>
      <c r="R172">
        <f t="shared" si="28"/>
        <v>6</v>
      </c>
      <c r="S172" t="str">
        <f t="shared" si="29"/>
        <v>2013-9-6</v>
      </c>
      <c r="T172" s="23">
        <v>138639.82</v>
      </c>
    </row>
    <row r="173" spans="15:20" x14ac:dyDescent="0.25">
      <c r="O173" s="17">
        <v>41524</v>
      </c>
      <c r="P173">
        <f t="shared" si="23"/>
        <v>2013</v>
      </c>
      <c r="Q173">
        <f t="shared" si="27"/>
        <v>9</v>
      </c>
      <c r="R173">
        <f t="shared" si="28"/>
        <v>7</v>
      </c>
      <c r="S173" t="str">
        <f t="shared" si="29"/>
        <v>2013-9-7</v>
      </c>
      <c r="T173" s="23">
        <v>138639.82</v>
      </c>
    </row>
    <row r="174" spans="15:20" x14ac:dyDescent="0.25">
      <c r="O174" s="17">
        <v>41525</v>
      </c>
      <c r="P174">
        <f t="shared" si="23"/>
        <v>2013</v>
      </c>
      <c r="Q174">
        <f t="shared" si="27"/>
        <v>9</v>
      </c>
      <c r="R174">
        <f t="shared" si="28"/>
        <v>8</v>
      </c>
      <c r="S174" t="str">
        <f t="shared" si="29"/>
        <v>2013-9-8</v>
      </c>
      <c r="T174" s="23">
        <v>138639.82</v>
      </c>
    </row>
    <row r="175" spans="15:20" x14ac:dyDescent="0.25">
      <c r="O175" s="17">
        <v>41526</v>
      </c>
      <c r="P175">
        <f t="shared" si="23"/>
        <v>2013</v>
      </c>
      <c r="Q175">
        <f t="shared" si="27"/>
        <v>9</v>
      </c>
      <c r="R175">
        <f t="shared" si="28"/>
        <v>9</v>
      </c>
      <c r="S175" t="str">
        <f t="shared" si="29"/>
        <v>2013-9-9</v>
      </c>
      <c r="T175" s="23">
        <v>138639.82</v>
      </c>
    </row>
    <row r="176" spans="15:20" x14ac:dyDescent="0.25">
      <c r="O176" s="17">
        <v>41527</v>
      </c>
      <c r="P176">
        <f t="shared" si="23"/>
        <v>2013</v>
      </c>
      <c r="Q176">
        <f t="shared" si="27"/>
        <v>9</v>
      </c>
      <c r="R176">
        <f t="shared" si="28"/>
        <v>10</v>
      </c>
      <c r="S176" t="str">
        <f t="shared" si="29"/>
        <v>2013-9-10</v>
      </c>
      <c r="T176" s="23">
        <v>138639.82</v>
      </c>
    </row>
    <row r="177" spans="15:20" x14ac:dyDescent="0.25">
      <c r="O177" s="17">
        <v>41528</v>
      </c>
      <c r="P177">
        <f t="shared" si="23"/>
        <v>2013</v>
      </c>
      <c r="Q177">
        <f t="shared" ref="Q177:Q198" si="30">MONTH(O177)</f>
        <v>9</v>
      </c>
      <c r="R177">
        <f t="shared" ref="R177:R198" si="31">DAY(O177)</f>
        <v>11</v>
      </c>
      <c r="S177" t="str">
        <f t="shared" ref="S177:S198" si="32">P177&amp;"-"&amp;Q177&amp;"-"&amp;R177</f>
        <v>2013-9-11</v>
      </c>
      <c r="T177" s="23">
        <v>138639.82</v>
      </c>
    </row>
    <row r="178" spans="15:20" x14ac:dyDescent="0.25">
      <c r="O178" s="17">
        <v>41529</v>
      </c>
      <c r="P178">
        <f t="shared" si="23"/>
        <v>2013</v>
      </c>
      <c r="Q178">
        <f t="shared" si="30"/>
        <v>9</v>
      </c>
      <c r="R178">
        <f t="shared" si="31"/>
        <v>12</v>
      </c>
      <c r="S178" t="str">
        <f t="shared" si="32"/>
        <v>2013-9-12</v>
      </c>
      <c r="T178" s="23">
        <v>138639.82</v>
      </c>
    </row>
    <row r="179" spans="15:20" x14ac:dyDescent="0.25">
      <c r="O179" s="17">
        <v>41530</v>
      </c>
      <c r="P179">
        <f t="shared" si="23"/>
        <v>2013</v>
      </c>
      <c r="Q179">
        <f t="shared" si="30"/>
        <v>9</v>
      </c>
      <c r="R179">
        <f t="shared" si="31"/>
        <v>13</v>
      </c>
      <c r="S179" t="str">
        <f t="shared" si="32"/>
        <v>2013-9-13</v>
      </c>
      <c r="T179" s="23">
        <v>138639.82</v>
      </c>
    </row>
    <row r="180" spans="15:20" x14ac:dyDescent="0.25">
      <c r="O180" s="17">
        <v>41531</v>
      </c>
      <c r="P180">
        <f t="shared" si="23"/>
        <v>2013</v>
      </c>
      <c r="Q180">
        <f t="shared" si="30"/>
        <v>9</v>
      </c>
      <c r="R180">
        <f t="shared" si="31"/>
        <v>14</v>
      </c>
      <c r="S180" t="str">
        <f t="shared" si="32"/>
        <v>2013-9-14</v>
      </c>
      <c r="T180" s="23">
        <v>138639.82</v>
      </c>
    </row>
    <row r="181" spans="15:20" x14ac:dyDescent="0.25">
      <c r="O181" s="17">
        <v>41532</v>
      </c>
      <c r="P181">
        <f t="shared" si="23"/>
        <v>2013</v>
      </c>
      <c r="Q181">
        <f t="shared" si="30"/>
        <v>9</v>
      </c>
      <c r="R181">
        <f t="shared" si="31"/>
        <v>15</v>
      </c>
      <c r="S181" t="str">
        <f t="shared" si="32"/>
        <v>2013-9-15</v>
      </c>
      <c r="T181" s="23">
        <v>138639.82</v>
      </c>
    </row>
    <row r="182" spans="15:20" x14ac:dyDescent="0.25">
      <c r="O182" s="17">
        <v>41533</v>
      </c>
      <c r="P182">
        <f t="shared" si="23"/>
        <v>2013</v>
      </c>
      <c r="Q182">
        <f t="shared" si="30"/>
        <v>9</v>
      </c>
      <c r="R182">
        <f t="shared" si="31"/>
        <v>16</v>
      </c>
      <c r="S182" t="str">
        <f t="shared" si="32"/>
        <v>2013-9-16</v>
      </c>
      <c r="T182" s="23">
        <v>138639.82</v>
      </c>
    </row>
    <row r="183" spans="15:20" x14ac:dyDescent="0.25">
      <c r="O183" s="17">
        <v>41534</v>
      </c>
      <c r="P183">
        <f t="shared" si="23"/>
        <v>2013</v>
      </c>
      <c r="Q183">
        <f t="shared" si="30"/>
        <v>9</v>
      </c>
      <c r="R183">
        <f t="shared" si="31"/>
        <v>17</v>
      </c>
      <c r="S183" t="str">
        <f t="shared" si="32"/>
        <v>2013-9-17</v>
      </c>
      <c r="T183" s="23">
        <v>138639.82</v>
      </c>
    </row>
    <row r="184" spans="15:20" x14ac:dyDescent="0.25">
      <c r="O184" s="17">
        <v>41535</v>
      </c>
      <c r="P184">
        <f t="shared" si="23"/>
        <v>2013</v>
      </c>
      <c r="Q184">
        <f t="shared" si="30"/>
        <v>9</v>
      </c>
      <c r="R184">
        <f t="shared" si="31"/>
        <v>18</v>
      </c>
      <c r="S184" t="str">
        <f t="shared" si="32"/>
        <v>2013-9-18</v>
      </c>
      <c r="T184" s="23">
        <v>138639.82</v>
      </c>
    </row>
    <row r="185" spans="15:20" x14ac:dyDescent="0.25">
      <c r="O185" s="17">
        <v>41536</v>
      </c>
      <c r="P185">
        <f t="shared" si="23"/>
        <v>2013</v>
      </c>
      <c r="Q185">
        <f t="shared" si="30"/>
        <v>9</v>
      </c>
      <c r="R185">
        <f t="shared" si="31"/>
        <v>19</v>
      </c>
      <c r="S185" t="str">
        <f t="shared" si="32"/>
        <v>2013-9-19</v>
      </c>
      <c r="T185" s="23">
        <v>138639.82</v>
      </c>
    </row>
    <row r="186" spans="15:20" x14ac:dyDescent="0.25">
      <c r="O186" s="17">
        <v>41537</v>
      </c>
      <c r="P186">
        <f t="shared" si="23"/>
        <v>2013</v>
      </c>
      <c r="Q186">
        <f t="shared" si="30"/>
        <v>9</v>
      </c>
      <c r="R186">
        <f t="shared" si="31"/>
        <v>20</v>
      </c>
      <c r="S186" t="str">
        <f t="shared" si="32"/>
        <v>2013-9-20</v>
      </c>
      <c r="T186" s="23">
        <v>138639.82</v>
      </c>
    </row>
    <row r="187" spans="15:20" x14ac:dyDescent="0.25">
      <c r="O187" s="17">
        <v>41538</v>
      </c>
      <c r="P187">
        <f t="shared" si="23"/>
        <v>2013</v>
      </c>
      <c r="Q187">
        <f t="shared" si="30"/>
        <v>9</v>
      </c>
      <c r="R187">
        <f t="shared" si="31"/>
        <v>21</v>
      </c>
      <c r="S187" t="str">
        <f t="shared" si="32"/>
        <v>2013-9-21</v>
      </c>
      <c r="T187" s="23">
        <v>138639.82</v>
      </c>
    </row>
    <row r="188" spans="15:20" x14ac:dyDescent="0.25">
      <c r="O188" s="17">
        <v>41539</v>
      </c>
      <c r="P188">
        <f t="shared" si="23"/>
        <v>2013</v>
      </c>
      <c r="Q188">
        <f t="shared" si="30"/>
        <v>9</v>
      </c>
      <c r="R188">
        <f t="shared" si="31"/>
        <v>22</v>
      </c>
      <c r="S188" t="str">
        <f t="shared" si="32"/>
        <v>2013-9-22</v>
      </c>
      <c r="T188" s="23">
        <v>138639.82</v>
      </c>
    </row>
    <row r="189" spans="15:20" x14ac:dyDescent="0.25">
      <c r="O189" s="17">
        <v>41540</v>
      </c>
      <c r="P189">
        <f t="shared" si="23"/>
        <v>2013</v>
      </c>
      <c r="Q189">
        <f t="shared" si="30"/>
        <v>9</v>
      </c>
      <c r="R189">
        <f t="shared" si="31"/>
        <v>23</v>
      </c>
      <c r="S189" t="str">
        <f t="shared" si="32"/>
        <v>2013-9-23</v>
      </c>
      <c r="T189" s="23">
        <v>138639.82</v>
      </c>
    </row>
    <row r="190" spans="15:20" x14ac:dyDescent="0.25">
      <c r="O190" s="17">
        <v>41541</v>
      </c>
      <c r="P190">
        <f t="shared" si="23"/>
        <v>2013</v>
      </c>
      <c r="Q190">
        <f t="shared" si="30"/>
        <v>9</v>
      </c>
      <c r="R190">
        <f t="shared" si="31"/>
        <v>24</v>
      </c>
      <c r="S190" t="str">
        <f t="shared" si="32"/>
        <v>2013-9-24</v>
      </c>
      <c r="T190" s="23">
        <v>138639.82</v>
      </c>
    </row>
    <row r="191" spans="15:20" x14ac:dyDescent="0.25">
      <c r="O191" s="17">
        <v>41542</v>
      </c>
      <c r="P191">
        <f t="shared" si="23"/>
        <v>2013</v>
      </c>
      <c r="Q191">
        <f t="shared" si="30"/>
        <v>9</v>
      </c>
      <c r="R191">
        <f t="shared" si="31"/>
        <v>25</v>
      </c>
      <c r="S191" t="str">
        <f t="shared" si="32"/>
        <v>2013-9-25</v>
      </c>
      <c r="T191" s="23">
        <v>138639.82</v>
      </c>
    </row>
    <row r="192" spans="15:20" x14ac:dyDescent="0.25">
      <c r="O192" s="17">
        <v>41543</v>
      </c>
      <c r="P192">
        <f t="shared" si="23"/>
        <v>2013</v>
      </c>
      <c r="Q192">
        <f t="shared" si="30"/>
        <v>9</v>
      </c>
      <c r="R192">
        <f t="shared" si="31"/>
        <v>26</v>
      </c>
      <c r="S192" t="str">
        <f t="shared" si="32"/>
        <v>2013-9-26</v>
      </c>
      <c r="T192" s="23">
        <v>138639.82</v>
      </c>
    </row>
    <row r="193" spans="15:20" x14ac:dyDescent="0.25">
      <c r="O193" s="17">
        <v>41544</v>
      </c>
      <c r="P193">
        <f t="shared" si="23"/>
        <v>2013</v>
      </c>
      <c r="Q193">
        <f t="shared" si="30"/>
        <v>9</v>
      </c>
      <c r="R193">
        <f t="shared" si="31"/>
        <v>27</v>
      </c>
      <c r="S193" t="str">
        <f t="shared" si="32"/>
        <v>2013-9-27</v>
      </c>
      <c r="T193" s="23">
        <v>138639.82</v>
      </c>
    </row>
    <row r="194" spans="15:20" x14ac:dyDescent="0.25">
      <c r="O194" s="17">
        <v>41545</v>
      </c>
      <c r="P194">
        <f t="shared" si="23"/>
        <v>2013</v>
      </c>
      <c r="Q194">
        <f t="shared" si="30"/>
        <v>9</v>
      </c>
      <c r="R194">
        <f t="shared" si="31"/>
        <v>28</v>
      </c>
      <c r="S194" t="str">
        <f t="shared" si="32"/>
        <v>2013-9-28</v>
      </c>
      <c r="T194" s="23">
        <v>138639.82</v>
      </c>
    </row>
    <row r="195" spans="15:20" x14ac:dyDescent="0.25">
      <c r="O195" s="17">
        <v>41546</v>
      </c>
      <c r="P195">
        <f t="shared" si="23"/>
        <v>2013</v>
      </c>
      <c r="Q195">
        <f t="shared" si="30"/>
        <v>9</v>
      </c>
      <c r="R195">
        <f t="shared" si="31"/>
        <v>29</v>
      </c>
      <c r="S195" t="str">
        <f t="shared" si="32"/>
        <v>2013-9-29</v>
      </c>
      <c r="T195" s="23">
        <v>138639.82</v>
      </c>
    </row>
    <row r="196" spans="15:20" x14ac:dyDescent="0.25">
      <c r="O196" s="17">
        <v>41547</v>
      </c>
      <c r="P196">
        <f t="shared" si="23"/>
        <v>2013</v>
      </c>
      <c r="Q196">
        <f t="shared" si="30"/>
        <v>9</v>
      </c>
      <c r="R196">
        <f t="shared" si="31"/>
        <v>30</v>
      </c>
      <c r="S196" t="str">
        <f t="shared" si="32"/>
        <v>2013-9-30</v>
      </c>
      <c r="T196" s="23">
        <v>138639.82</v>
      </c>
    </row>
    <row r="197" spans="15:20" x14ac:dyDescent="0.25">
      <c r="O197" s="17"/>
      <c r="T197" s="23"/>
    </row>
    <row r="198" spans="15:20" x14ac:dyDescent="0.25">
      <c r="O198" s="17"/>
      <c r="T198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Table10-1_2</vt:lpstr>
      <vt:lpstr>Table10-3</vt:lpstr>
      <vt:lpstr>SV</vt:lpstr>
      <vt:lpstr>known_elev</vt:lpstr>
      <vt:lpstr>known_elevation</vt:lpstr>
      <vt:lpstr>known_outflow</vt:lpstr>
      <vt:lpstr>known_vol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Osorio</dc:creator>
  <cp:lastModifiedBy>Nicole Osorio</cp:lastModifiedBy>
  <dcterms:created xsi:type="dcterms:W3CDTF">2022-03-12T17:31:40Z</dcterms:created>
  <dcterms:modified xsi:type="dcterms:W3CDTF">2022-03-14T15:54:23Z</dcterms:modified>
</cp:coreProperties>
</file>